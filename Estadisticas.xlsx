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SIG EEA Mendoza\WebINTA\"/>
    </mc:Choice>
  </mc:AlternateContent>
  <bookViews>
    <workbookView xWindow="0" yWindow="0" windowWidth="28800" windowHeight="13500" activeTab="1"/>
  </bookViews>
  <sheets>
    <sheet name="Datos" sheetId="1" r:id="rId1"/>
    <sheet name="GraficoDinamico" sheetId="3" r:id="rId2"/>
  </sheets>
  <definedNames>
    <definedName name="_xlnm._FilterDatabase" localSheetId="0" hidden="1">Datos!$A$1:$Y$110</definedName>
  </definedName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3" l="1"/>
  <c r="I1" i="3"/>
  <c r="E1" i="3" l="1"/>
  <c r="D6" i="3"/>
  <c r="D10" i="3"/>
  <c r="D13" i="3"/>
  <c r="D12" i="3"/>
  <c r="D11" i="3"/>
  <c r="D9" i="3"/>
  <c r="D8" i="3"/>
  <c r="D7" i="3"/>
  <c r="D5" i="3"/>
  <c r="Z1" i="1"/>
  <c r="AB1" i="1"/>
  <c r="AD1" i="1"/>
  <c r="AE1" i="1" l="1"/>
</calcChain>
</file>

<file path=xl/sharedStrings.xml><?xml version="1.0" encoding="utf-8"?>
<sst xmlns="http://schemas.openxmlformats.org/spreadsheetml/2006/main" count="730" uniqueCount="251">
  <si>
    <t>id</t>
  </si>
  <si>
    <t>Hileras</t>
  </si>
  <si>
    <t>Superficie</t>
  </si>
  <si>
    <t>Ensayo</t>
  </si>
  <si>
    <t>Especie</t>
  </si>
  <si>
    <t>Variedad</t>
  </si>
  <si>
    <t>Responsabl</t>
  </si>
  <si>
    <t>Conduccion</t>
  </si>
  <si>
    <t>Riego</t>
  </si>
  <si>
    <t>Clon</t>
  </si>
  <si>
    <t>Plantacion</t>
  </si>
  <si>
    <t>Sup_Croqui</t>
  </si>
  <si>
    <t>Descripcio</t>
  </si>
  <si>
    <t>Largo</t>
  </si>
  <si>
    <t>Ancho</t>
  </si>
  <si>
    <t>Cobertura</t>
  </si>
  <si>
    <t>0.59</t>
  </si>
  <si>
    <t>Vid</t>
  </si>
  <si>
    <t>Cabernet Sauvignon</t>
  </si>
  <si>
    <t>Espaldero</t>
  </si>
  <si>
    <t>Superficial</t>
  </si>
  <si>
    <t>0.26</t>
  </si>
  <si>
    <t>Cultivo</t>
  </si>
  <si>
    <t>0.29</t>
  </si>
  <si>
    <t>Huerta</t>
  </si>
  <si>
    <t>Organica</t>
  </si>
  <si>
    <t>0.54</t>
  </si>
  <si>
    <t>8.2</t>
  </si>
  <si>
    <t>Cerezo</t>
  </si>
  <si>
    <t>Goteo</t>
  </si>
  <si>
    <t>1.47</t>
  </si>
  <si>
    <t>8.1</t>
  </si>
  <si>
    <t>0.62</t>
  </si>
  <si>
    <t>1.15</t>
  </si>
  <si>
    <t>0.21</t>
  </si>
  <si>
    <t>Malbec</t>
  </si>
  <si>
    <t>0.17</t>
  </si>
  <si>
    <t>0.58</t>
  </si>
  <si>
    <t>Torrontes,Bonarda</t>
  </si>
  <si>
    <t>Rocio Torres</t>
  </si>
  <si>
    <t>0.41</t>
  </si>
  <si>
    <t>0.12</t>
  </si>
  <si>
    <t>Americanas</t>
  </si>
  <si>
    <t>Gustavo Aliquo</t>
  </si>
  <si>
    <t>0.15</t>
  </si>
  <si>
    <t>1.07</t>
  </si>
  <si>
    <t>Syrah</t>
  </si>
  <si>
    <t>1.03</t>
  </si>
  <si>
    <t>1.29</t>
  </si>
  <si>
    <t>18 INTA</t>
  </si>
  <si>
    <t>1.58</t>
  </si>
  <si>
    <t>2.74</t>
  </si>
  <si>
    <t>10a</t>
  </si>
  <si>
    <t>Verdicchio</t>
  </si>
  <si>
    <t>0.43</t>
  </si>
  <si>
    <t>0.11</t>
  </si>
  <si>
    <t>Inculto</t>
  </si>
  <si>
    <t>0.13</t>
  </si>
  <si>
    <t>1.33</t>
  </si>
  <si>
    <t>Ecofisiologia</t>
  </si>
  <si>
    <t>1.62</t>
  </si>
  <si>
    <t>Hortalizas</t>
  </si>
  <si>
    <t>Cooperadora</t>
  </si>
  <si>
    <t>1.6</t>
  </si>
  <si>
    <t>Vivero Claudia Lucero</t>
  </si>
  <si>
    <t>1.65</t>
  </si>
  <si>
    <t>0.6</t>
  </si>
  <si>
    <t>13o</t>
  </si>
  <si>
    <t>0.2</t>
  </si>
  <si>
    <t>1.38</t>
  </si>
  <si>
    <t>Lisímetro</t>
  </si>
  <si>
    <t>1.36</t>
  </si>
  <si>
    <t>0.71</t>
  </si>
  <si>
    <t>Torrontes</t>
  </si>
  <si>
    <t>0.75</t>
  </si>
  <si>
    <t>1.63</t>
  </si>
  <si>
    <t>Claudia Lucero</t>
  </si>
  <si>
    <t>1.52</t>
  </si>
  <si>
    <t>0.48</t>
  </si>
  <si>
    <t>Chardonnay</t>
  </si>
  <si>
    <t>0.36</t>
  </si>
  <si>
    <t>0.37</t>
  </si>
  <si>
    <t>0.51</t>
  </si>
  <si>
    <t>0.46</t>
  </si>
  <si>
    <t>0.52</t>
  </si>
  <si>
    <t>Barbera Dasty</t>
  </si>
  <si>
    <t>0.49</t>
  </si>
  <si>
    <t>Merlot</t>
  </si>
  <si>
    <t>2.95</t>
  </si>
  <si>
    <t>Bonarda</t>
  </si>
  <si>
    <t>1.1</t>
  </si>
  <si>
    <t>1.08</t>
  </si>
  <si>
    <t>1.04</t>
  </si>
  <si>
    <t>0.7</t>
  </si>
  <si>
    <t>0.33</t>
  </si>
  <si>
    <t>Semillon,Syrah</t>
  </si>
  <si>
    <t>0.42</t>
  </si>
  <si>
    <t>S. Gomez Talquenca</t>
  </si>
  <si>
    <t>0.09</t>
  </si>
  <si>
    <t>0.1</t>
  </si>
  <si>
    <t>0.83</t>
  </si>
  <si>
    <t>Coleccion vinificacion</t>
  </si>
  <si>
    <t>Santiago Sari</t>
  </si>
  <si>
    <t>0.8</t>
  </si>
  <si>
    <t>1.71</t>
  </si>
  <si>
    <t>Parral</t>
  </si>
  <si>
    <t>0.27</t>
  </si>
  <si>
    <t>40.a</t>
  </si>
  <si>
    <t>Variedades de mesa</t>
  </si>
  <si>
    <t>Claudia Lucero/Marisel Quiroga</t>
  </si>
  <si>
    <t>0.3</t>
  </si>
  <si>
    <t>1.22</t>
  </si>
  <si>
    <t>Ancelotta</t>
  </si>
  <si>
    <t>2.2</t>
  </si>
  <si>
    <t>1.12</t>
  </si>
  <si>
    <t>1.11</t>
  </si>
  <si>
    <t>1.09</t>
  </si>
  <si>
    <t>Pinot</t>
  </si>
  <si>
    <t>0.99</t>
  </si>
  <si>
    <t>0.93</t>
  </si>
  <si>
    <t>0.95</t>
  </si>
  <si>
    <t>Martin Uliarte/Geogina Escoriaza</t>
  </si>
  <si>
    <t>0.44</t>
  </si>
  <si>
    <t>Chenin</t>
  </si>
  <si>
    <t>1.06</t>
  </si>
  <si>
    <t>0.28</t>
  </si>
  <si>
    <t>Espaldero-Casarsa</t>
  </si>
  <si>
    <t>19 INTA</t>
  </si>
  <si>
    <t>0.4</t>
  </si>
  <si>
    <t>0.19</t>
  </si>
  <si>
    <t>0.18</t>
  </si>
  <si>
    <t>47.a</t>
  </si>
  <si>
    <t>1.89</t>
  </si>
  <si>
    <t>1.91</t>
  </si>
  <si>
    <t>1.05</t>
  </si>
  <si>
    <t>1.43</t>
  </si>
  <si>
    <t>1.39</t>
  </si>
  <si>
    <t>1.26</t>
  </si>
  <si>
    <t>Riesling</t>
  </si>
  <si>
    <t>1.24</t>
  </si>
  <si>
    <t>3.24</t>
  </si>
  <si>
    <t>3.19</t>
  </si>
  <si>
    <t>6.59</t>
  </si>
  <si>
    <t>0.88</t>
  </si>
  <si>
    <t>1.79</t>
  </si>
  <si>
    <t>Coleccion varietal</t>
  </si>
  <si>
    <t>1.81</t>
  </si>
  <si>
    <t>0.57</t>
  </si>
  <si>
    <t>Coleccion criollas</t>
  </si>
  <si>
    <t>0.69</t>
  </si>
  <si>
    <t>39.3</t>
  </si>
  <si>
    <t>0.68</t>
  </si>
  <si>
    <t>39.2</t>
  </si>
  <si>
    <t>39.1</t>
  </si>
  <si>
    <t>Incremento vivero</t>
  </si>
  <si>
    <t>0.45</t>
  </si>
  <si>
    <t>0.25</t>
  </si>
  <si>
    <t>38.1</t>
  </si>
  <si>
    <t>Portainjertos</t>
  </si>
  <si>
    <t>0.02</t>
  </si>
  <si>
    <t>Tomate</t>
  </si>
  <si>
    <t>German Aguado</t>
  </si>
  <si>
    <t>24.2</t>
  </si>
  <si>
    <t>10.05</t>
  </si>
  <si>
    <t>Invernaculo</t>
  </si>
  <si>
    <t>Flores</t>
  </si>
  <si>
    <t>Gabriel Pisi</t>
  </si>
  <si>
    <t>6.2</t>
  </si>
  <si>
    <t>0.01</t>
  </si>
  <si>
    <t>Deposito Cooperadora</t>
  </si>
  <si>
    <t>Edificio</t>
  </si>
  <si>
    <t>Virologia</t>
  </si>
  <si>
    <t>28.7</t>
  </si>
  <si>
    <t>Multiplicacion plantines de vid</t>
  </si>
  <si>
    <t>6.3</t>
  </si>
  <si>
    <t>Hidroponia</t>
  </si>
  <si>
    <t>Juan C. Casciani</t>
  </si>
  <si>
    <t>6.25</t>
  </si>
  <si>
    <t>10.15</t>
  </si>
  <si>
    <t>6.4</t>
  </si>
  <si>
    <t>0.04</t>
  </si>
  <si>
    <t>Edificio Central</t>
  </si>
  <si>
    <t>0.05</t>
  </si>
  <si>
    <t>Laboratorios BID2</t>
  </si>
  <si>
    <t>Laboratorios BID1</t>
  </si>
  <si>
    <t>Rodrigo Espindola</t>
  </si>
  <si>
    <t>Agencia de Extension Rural</t>
  </si>
  <si>
    <t>Inv_Cooperadora</t>
  </si>
  <si>
    <t>Cooperadora2</t>
  </si>
  <si>
    <t>19.7</t>
  </si>
  <si>
    <t>Casa</t>
  </si>
  <si>
    <t>Vivienda</t>
  </si>
  <si>
    <t>Nodo Becarios/Higiene y Seguridad</t>
  </si>
  <si>
    <t>Alejandro Ambrogetti</t>
  </si>
  <si>
    <t>Talleres</t>
  </si>
  <si>
    <t>0.03</t>
  </si>
  <si>
    <t>Deposito</t>
  </si>
  <si>
    <t>Bodega o Centro de Estudios Enologicos</t>
  </si>
  <si>
    <t>Martin Uliarte</t>
  </si>
  <si>
    <t>Agrotecnologia Sostenible</t>
  </si>
  <si>
    <t>Marisel Quiroga</t>
  </si>
  <si>
    <t>Agroalimentos/Postcosecha/Aromas</t>
  </si>
  <si>
    <t>Marcos Montoya</t>
  </si>
  <si>
    <t>Geomatica y Agricultura de Precision</t>
  </si>
  <si>
    <t>Estacionamiento</t>
  </si>
  <si>
    <t>Media Sombra</t>
  </si>
  <si>
    <t>Deposito Agroquimicos</t>
  </si>
  <si>
    <t>0.06</t>
  </si>
  <si>
    <t>Estructura</t>
  </si>
  <si>
    <t>Sergio Estrella</t>
  </si>
  <si>
    <t>Fundacion ArgenINTA</t>
  </si>
  <si>
    <t>Claudio Galmarini</t>
  </si>
  <si>
    <t>Centro Regional Mendoza-San Juan</t>
  </si>
  <si>
    <t>Club</t>
  </si>
  <si>
    <t>Roque Tenerini</t>
  </si>
  <si>
    <t>Almacen de la Cooperadora</t>
  </si>
  <si>
    <t>Modulo de Agricultura Vertical Indoor (FONTAGRO)</t>
  </si>
  <si>
    <t>10b</t>
  </si>
  <si>
    <t>1.96</t>
  </si>
  <si>
    <t>13e</t>
  </si>
  <si>
    <t>12 INTA</t>
  </si>
  <si>
    <t>0.14</t>
  </si>
  <si>
    <t>0.24</t>
  </si>
  <si>
    <t>31b</t>
  </si>
  <si>
    <t>Sauvignon Blanc</t>
  </si>
  <si>
    <t>31c</t>
  </si>
  <si>
    <t xml:space="preserve">Producción en qq - </t>
  </si>
  <si>
    <t xml:space="preserve">Parcela Nº 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</si>
  <si>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</si>
  <si>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</si>
  <si>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</si>
  <si>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</si>
  <si>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</si>
  <si>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</si>
  <si>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</si>
  <si>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</si>
  <si>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</si>
  <si>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Valores</t>
  </si>
  <si>
    <t xml:space="preserve"> 2017</t>
  </si>
  <si>
    <t xml:space="preserve"> 2018</t>
  </si>
  <si>
    <t xml:space="preserve"> 2019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</si>
  <si>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</si>
  <si>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</si>
  <si>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</si>
  <si>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</si>
  <si>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</si>
  <si>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</si>
  <si>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>Etiquetas de columna</t>
  </si>
  <si>
    <t>Total general</t>
  </si>
  <si>
    <t>Promedio: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</si>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</sst>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0" xfId="0" applyNumberFormat="1"/>
    <xf numFmtId="0" fontId="0" fillId="0" borderId="2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2" fontId="0" fillId="0" borderId="9" xfId="0" applyNumberFormat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[Estadisticas.xlsx]GraficoDinamico!TablaDinámica1</c:name>
    <c:fmtId val="1"/>
  </c:pivotSource>
  <c:chart>
    <c:title>
      <c:tx>
        <c:strRef>
          <c:f>GraficoDinamico!$E$1</c:f>
          <c:strCache>
            <c:ptCount val="1"/>
            <c:pt idx="0">
              <c:v>Producción en qq de la parcela 50 (Chenin)
Promedio: 183,04 qq</c:v>
            </c:pt>
          </c:strCache>
        </c:strRef>
      </c:tx>
      <c:layout>
        <c:manualLayout>
          <c:xMode val="edge"/>
          <c:yMode val="edge"/>
          <c:x val="0.15436955716671671"/>
          <c:y val="3.6241599830980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GraficoDinamico!$E$1</c:f>
              <c:strCache>
                <c:ptCount val="1"/>
                <c:pt idx="0">
                  <c:v>Chenin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GraficoDinamico!$E$1</c:f>
              <c:strCache>
                <c:ptCount val="9"/>
                <c:pt idx="0">
                  <c:v> 2017</c:v>
                </c:pt>
                <c:pt idx="1">
                  <c:v> 2018</c:v>
                </c:pt>
                <c:pt idx="2">
                  <c:v> 2019</c:v>
                </c:pt>
                <c:pt idx="3">
                  <c:v> 2020</c:v>
                </c:pt>
                <c:pt idx="4">
                  <c:v> 2021</c:v>
                </c:pt>
                <c:pt idx="5">
                  <c:v> 2022</c:v>
                </c:pt>
                <c:pt idx="6">
                  <c:v> 2023</c:v>
                </c:pt>
                <c:pt idx="7">
                  <c:v> 2024</c:v>
                </c:pt>
                <c:pt idx="8">
                  <c:v> 2025</c:v>
                </c:pt>
              </c:strCache>
            </c:strRef>
          </c:cat>
          <c:val>
            <c:numRef>
              <c:f>GraficoDinamico!$E$1</c:f>
              <c:numCache>
                <c:formatCode>General</c:formatCode>
                <c:ptCount val="9"/>
                <c:pt idx="1">
                  <c:v>138.19999999999999</c:v>
                </c:pt>
                <c:pt idx="2">
                  <c:v>175.97</c:v>
                </c:pt>
                <c:pt idx="3">
                  <c:v>134.84</c:v>
                </c:pt>
                <c:pt idx="4">
                  <c:v>186.9</c:v>
                </c:pt>
                <c:pt idx="5">
                  <c:v>219.5</c:v>
                </c:pt>
                <c:pt idx="6">
                  <c:v>117.9</c:v>
                </c:pt>
                <c:pt idx="7">
                  <c:v>185</c:v>
                </c:pt>
                <c:pt idx="8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C-423D-8B2F-6FCC93925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854384"/>
        <c:axId val="331854712"/>
      </c:barChart>
      <c:catAx>
        <c:axId val="33185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b="1"/>
                  <a:t>AÑO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1854712"/>
        <c:crosses val="autoZero"/>
        <c:auto val="1"/>
        <c:lblAlgn val="ctr"/>
        <c:lblOffset val="100"/>
        <c:noMultiLvlLbl val="0"/>
      </c:catAx>
      <c:valAx>
        <c:axId val="33185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qq</a:t>
                </a:r>
              </a:p>
            </c:rich>
          </c:tx>
          <c:layout>
            <c:manualLayout>
              <c:xMode val="edge"/>
              <c:yMode val="edge"/>
              <c:x val="5.9898167455656022E-2"/>
              <c:y val="0.18160194371988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3185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709611</xdr:colOff>
      <xdr:row>12</xdr:row>
      <xdr:rowOff>85724</xdr:rowOff>
    </xdr:from>
    <xdr:to>
      <xdr:col>11</xdr:col>
      <xdr:colOff>1047749</xdr:colOff>
      <xdr:row>28</xdr:row>
      <xdr:rowOff>114299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udio Mauricio Godoy" refreshedDate="46079.585793865743" createdVersion="6" refreshedVersion="6" minRefreshableVersion="3" recordCount="109">
  <cacheSource type="worksheet">
    <worksheetSource name="Tabla1"/>
  </cacheSource>
  <cacheFields count="25">
    <cacheField name="id" numFmtId="0">
      <sharedItems containsSemiMixedTypes="0" containsString="0" containsNumber="1" containsInteger="1" minValue="1" maxValue="5000" count="107">
        <n v="1"/>
        <n v="2"/>
        <n v="82"/>
        <n v="81"/>
        <n v="8"/>
        <n v="7"/>
        <n v="6"/>
        <n v="3"/>
        <n v="4"/>
        <n v="5"/>
        <n v="9"/>
        <n v="10"/>
        <n v="11"/>
        <n v="12"/>
        <n v="19"/>
        <n v="18"/>
        <n v="131"/>
        <n v="14"/>
        <n v="16"/>
        <n v="15"/>
        <n v="20"/>
        <n v="21"/>
        <n v="22"/>
        <n v="23"/>
        <n v="24"/>
        <n v="311"/>
        <n v="26"/>
        <n v="30"/>
        <n v="25"/>
        <n v="32"/>
        <n v="33"/>
        <n v="34"/>
        <n v="41"/>
        <n v="401"/>
        <n v="40"/>
        <n v="57"/>
        <n v="56"/>
        <n v="55"/>
        <n v="54"/>
        <n v="53"/>
        <n v="52"/>
        <n v="51"/>
        <n v="50"/>
        <n v="49"/>
        <n v="48"/>
        <n v="47"/>
        <n v="471"/>
        <n v="42"/>
        <n v="43"/>
        <n v="44"/>
        <n v="45"/>
        <n v="46"/>
        <n v="58"/>
        <n v="59"/>
        <n v="171"/>
        <n v="35"/>
        <n v="36"/>
        <n v="393"/>
        <n v="392"/>
        <n v="391"/>
        <n v="39"/>
        <n v="381"/>
        <n v="38"/>
        <n v="37"/>
        <n v="60"/>
        <n v="61"/>
        <n v="741"/>
        <n v="63"/>
        <n v="64"/>
        <n v="65"/>
        <n v="66"/>
        <n v="68"/>
        <n v="69"/>
        <n v="67"/>
        <n v="70"/>
        <n v="71"/>
        <n v="72"/>
        <n v="73"/>
        <n v="62"/>
        <n v="75"/>
        <n v="76"/>
        <n v="89"/>
        <n v="77"/>
        <n v="78"/>
        <n v="79"/>
        <n v="86"/>
        <n v="80"/>
        <n v="83"/>
        <n v="84"/>
        <n v="85"/>
        <n v="87"/>
        <n v="88"/>
        <n v="91"/>
        <n v="92"/>
        <n v="93"/>
        <n v="94"/>
        <n v="74"/>
        <n v="100"/>
        <n v="5000"/>
        <n v="101"/>
        <n v="102"/>
        <n v="132"/>
        <n v="172"/>
        <n v="173"/>
        <n v="174"/>
        <n v="312"/>
        <n v="313"/>
      </sharedItems>
    </cacheField>
    <cacheField name="Hileras" numFmtId="0">
      <sharedItems containsString="0" containsBlank="1" containsNumber="1" containsInteger="1" minValue="2" maxValue="201"/>
    </cacheField>
    <cacheField name="Superficie" numFmtId="0">
      <sharedItems containsBlank="1"/>
    </cacheField>
    <cacheField name="Ensayo" numFmtId="0">
      <sharedItems containsBlank="1" containsMixedTypes="1" containsNumber="1" containsInteger="1" minValue="1" maxValue="89"/>
    </cacheField>
    <cacheField name="Especie" numFmtId="0">
      <sharedItems containsBlank="1"/>
    </cacheField>
    <cacheField name="Variedad" numFmtId="0">
      <sharedItems containsBlank="1" count="25">
        <s v="Cabernet Sauvignon"/>
        <s v="Organica"/>
        <m/>
        <s v="Malbec"/>
        <s v="Torrontes,Bonarda"/>
        <s v="Americanas"/>
        <s v="Syrah"/>
        <s v="Verdicchio"/>
        <s v="Torrontes"/>
        <s v="Chardonnay"/>
        <s v="Barbera Dasty"/>
        <s v="Merlot"/>
        <s v="Bonarda"/>
        <s v="Semillon,Syrah"/>
        <s v="Coleccion vinificacion"/>
        <s v="Variedades de mesa"/>
        <s v="Ancelotta"/>
        <s v="Pinot"/>
        <s v="Chenin"/>
        <s v="Riesling"/>
        <s v="Coleccion varietal"/>
        <s v="Coleccion criollas"/>
        <s v="Incremento vivero"/>
        <s v="Portainjertos"/>
        <s v="Sauvignon Blanc"/>
      </sharedItems>
    </cacheField>
    <cacheField name="Responsabl" numFmtId="0">
      <sharedItems containsBlank="1"/>
    </cacheField>
    <cacheField name="Conduccion" numFmtId="0">
      <sharedItems containsBlank="1"/>
    </cacheField>
    <cacheField name="Riego" numFmtId="0">
      <sharedItems containsBlank="1"/>
    </cacheField>
    <cacheField name="Clon" numFmtId="0">
      <sharedItems containsBlank="1"/>
    </cacheField>
    <cacheField name="Plantacion" numFmtId="0">
      <sharedItems containsString="0" containsBlank="1" containsNumber="1" containsInteger="1" minValue="1981" maxValue="2022"/>
    </cacheField>
    <cacheField name="Sup_Croqui" numFmtId="0">
      <sharedItems containsBlank="1" containsMixedTypes="1" containsNumber="1" containsInteger="1" minValue="1" maxValue="1"/>
    </cacheField>
    <cacheField name="Descripcio" numFmtId="0">
      <sharedItems containsBlank="1"/>
    </cacheField>
    <cacheField name="Largo" numFmtId="0">
      <sharedItems containsBlank="1" containsMixedTypes="1" containsNumber="1" containsInteger="1" minValue="6" maxValue="46"/>
    </cacheField>
    <cacheField name="Ancho" numFmtId="0">
      <sharedItems containsBlank="1" containsMixedTypes="1" containsNumber="1" containsInteger="1" minValue="3" maxValue="11"/>
    </cacheField>
    <cacheField name="Cobertura" numFmtId="0">
      <sharedItems containsBlank="1"/>
    </cacheField>
    <cacheField name="2017" numFmtId="2">
      <sharedItems containsString="0" containsBlank="1" containsNumber="1" minValue="30.33" maxValue="291.2"/>
    </cacheField>
    <cacheField name="2018" numFmtId="2">
      <sharedItems containsString="0" containsBlank="1" containsNumber="1" minValue="16.87" maxValue="344.8"/>
    </cacheField>
    <cacheField name="2019" numFmtId="2">
      <sharedItems containsString="0" containsBlank="1" containsNumber="1" minValue="18.3" maxValue="474.41"/>
    </cacheField>
    <cacheField name="2020" numFmtId="2">
      <sharedItems containsString="0" containsBlank="1" containsNumber="1" minValue="0" maxValue="363.08"/>
    </cacheField>
    <cacheField name="2021" numFmtId="2">
      <sharedItems containsString="0" containsBlank="1" containsNumber="1" minValue="0" maxValue="392.2"/>
    </cacheField>
    <cacheField name="2022" numFmtId="2">
      <sharedItems containsString="0" containsBlank="1" containsNumber="1" minValue="0" maxValue="314.39999999999998"/>
    </cacheField>
    <cacheField name="2023" numFmtId="2">
      <sharedItems containsString="0" containsBlank="1" containsNumber="1" minValue="0" maxValue="406.8"/>
    </cacheField>
    <cacheField name="2024" numFmtId="2">
      <sharedItems containsString="0" containsBlank="1" containsNumber="1" containsInteger="1" minValue="8" maxValue="393"/>
    </cacheField>
    <cacheField name="2025" numFmtId="2">
      <sharedItems containsString="0" containsBlank="1" containsNumber="1" containsInteger="1" minValue="0" maxValue="3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x v="0"/>
    <n v="46"/>
    <s v="0.59"/>
    <n v="1"/>
    <s v="Vid"/>
    <x v="0"/>
    <m/>
    <s v="Espaldero"/>
    <s v="Superficial"/>
    <m/>
    <n v="1991"/>
    <s v="0.26"/>
    <m/>
    <m/>
    <m/>
    <s v="Cultivo"/>
    <n v="78.38"/>
    <n v="102.23"/>
    <n v="102.23"/>
    <n v="105.77"/>
    <n v="127.2"/>
    <n v="87.7"/>
    <n v="86.6"/>
    <n v="138"/>
    <n v="113"/>
  </r>
  <r>
    <x v="1"/>
    <m/>
    <s v="0.29"/>
    <n v="2"/>
    <s v="Huerta"/>
    <x v="1"/>
    <m/>
    <m/>
    <s v="Superficial"/>
    <m/>
    <m/>
    <s v="0.29"/>
    <m/>
    <m/>
    <m/>
    <s v="Cultivo"/>
    <m/>
    <m/>
    <m/>
    <m/>
    <m/>
    <m/>
    <m/>
    <m/>
    <m/>
  </r>
  <r>
    <x v="2"/>
    <n v="9"/>
    <s v="0.54"/>
    <s v="8.2"/>
    <s v="Cerezo"/>
    <x v="2"/>
    <m/>
    <m/>
    <s v="Goteo"/>
    <m/>
    <n v="2013"/>
    <s v="0.54"/>
    <m/>
    <m/>
    <m/>
    <s v="Cultivo"/>
    <m/>
    <m/>
    <m/>
    <m/>
    <m/>
    <m/>
    <m/>
    <m/>
    <m/>
  </r>
  <r>
    <x v="3"/>
    <n v="25"/>
    <s v="1.47"/>
    <s v="8.1"/>
    <s v="Cerezo"/>
    <x v="2"/>
    <m/>
    <m/>
    <s v="Goteo"/>
    <m/>
    <n v="2004"/>
    <s v="1.47"/>
    <m/>
    <m/>
    <m/>
    <s v="Cultivo"/>
    <m/>
    <m/>
    <m/>
    <m/>
    <m/>
    <m/>
    <m/>
    <m/>
    <m/>
  </r>
  <r>
    <x v="4"/>
    <n v="11"/>
    <s v="0.62"/>
    <n v="8"/>
    <s v="Cerezo"/>
    <x v="2"/>
    <m/>
    <m/>
    <s v="Goteo"/>
    <m/>
    <n v="2014"/>
    <s v="0.62"/>
    <m/>
    <m/>
    <m/>
    <s v="Cultivo"/>
    <m/>
    <m/>
    <m/>
    <m/>
    <m/>
    <m/>
    <m/>
    <m/>
    <m/>
  </r>
  <r>
    <x v="5"/>
    <n v="35"/>
    <s v="1.15"/>
    <n v="7"/>
    <s v="Vid"/>
    <x v="0"/>
    <m/>
    <s v="Espaldero"/>
    <s v="Superficial"/>
    <m/>
    <m/>
    <s v="1.15"/>
    <m/>
    <m/>
    <m/>
    <s v="Cultivo"/>
    <n v="55.62"/>
    <n v="70.650000000000006"/>
    <n v="83.83"/>
    <n v="68.760000000000005"/>
    <n v="69.599999999999994"/>
    <n v="64.8"/>
    <n v="64.3"/>
    <n v="69"/>
    <n v="42"/>
  </r>
  <r>
    <x v="6"/>
    <n v="7"/>
    <s v="0.21"/>
    <n v="6"/>
    <s v="Vid"/>
    <x v="3"/>
    <m/>
    <s v="Espaldero"/>
    <s v="Goteo"/>
    <m/>
    <n v="2002"/>
    <s v="0.17"/>
    <m/>
    <m/>
    <m/>
    <s v="Cultivo"/>
    <n v="147"/>
    <n v="196.71"/>
    <n v="198.82"/>
    <n v="225.58"/>
    <n v="204.8"/>
    <n v="211.8"/>
    <n v="216.1"/>
    <n v="169"/>
    <n v="163"/>
  </r>
  <r>
    <x v="7"/>
    <n v="14"/>
    <s v="0.58"/>
    <n v="3"/>
    <s v="Vid"/>
    <x v="4"/>
    <s v="Rocio Torres"/>
    <s v="Espaldero"/>
    <s v="Goteo"/>
    <m/>
    <n v="2010"/>
    <s v="0.41"/>
    <m/>
    <m/>
    <m/>
    <s v="Cultivo"/>
    <n v="287.67"/>
    <n v="266.17"/>
    <n v="474.41"/>
    <n v="236.45"/>
    <n v="392.2"/>
    <n v="314.39999999999998"/>
    <n v="406.8"/>
    <n v="393"/>
    <n v="280"/>
  </r>
  <r>
    <x v="8"/>
    <n v="5"/>
    <s v="0.12"/>
    <n v="4"/>
    <s v="Vid"/>
    <x v="5"/>
    <s v="Gustavo Aliquo"/>
    <s v="Espaldero"/>
    <s v="Goteo"/>
    <m/>
    <n v="1997"/>
    <s v="0.15"/>
    <m/>
    <m/>
    <m/>
    <s v="Cultivo"/>
    <m/>
    <m/>
    <m/>
    <m/>
    <m/>
    <m/>
    <m/>
    <m/>
    <m/>
  </r>
  <r>
    <x v="9"/>
    <n v="40"/>
    <s v="1.07"/>
    <n v="5"/>
    <s v="Vid"/>
    <x v="6"/>
    <m/>
    <s v="Espaldero"/>
    <s v="Goteo"/>
    <m/>
    <n v="1997"/>
    <s v="1.03"/>
    <m/>
    <m/>
    <m/>
    <s v="Cultivo"/>
    <n v="135.87"/>
    <n v="155.85"/>
    <n v="215.18"/>
    <n v="180.57"/>
    <n v="123.7"/>
    <n v="116"/>
    <n v="132.1"/>
    <n v="143"/>
    <n v="73"/>
  </r>
  <r>
    <x v="10"/>
    <n v="80"/>
    <s v="1.29"/>
    <n v="9"/>
    <s v="Vid"/>
    <x v="3"/>
    <m/>
    <s v="Espaldero"/>
    <s v="Superficial"/>
    <s v="18 INTA"/>
    <n v="2019"/>
    <s v="1.58"/>
    <m/>
    <m/>
    <m/>
    <s v="Cultivo"/>
    <m/>
    <m/>
    <m/>
    <m/>
    <m/>
    <n v="13.6"/>
    <n v="24.1"/>
    <n v="68"/>
    <n v="92"/>
  </r>
  <r>
    <x v="11"/>
    <n v="10"/>
    <s v="2.74"/>
    <s v="10a"/>
    <s v="Vid"/>
    <x v="7"/>
    <m/>
    <m/>
    <s v="Superficial"/>
    <m/>
    <n v="2022"/>
    <s v="0.43"/>
    <m/>
    <m/>
    <m/>
    <s v="Cultivo"/>
    <m/>
    <m/>
    <m/>
    <m/>
    <m/>
    <m/>
    <m/>
    <m/>
    <n v="25"/>
  </r>
  <r>
    <x v="12"/>
    <m/>
    <s v="0.11"/>
    <n v="11"/>
    <s v="Inculto"/>
    <x v="2"/>
    <m/>
    <m/>
    <m/>
    <m/>
    <m/>
    <s v="0.13"/>
    <m/>
    <m/>
    <m/>
    <s v="Cultivo"/>
    <m/>
    <m/>
    <m/>
    <m/>
    <m/>
    <m/>
    <m/>
    <m/>
    <m/>
  </r>
  <r>
    <x v="13"/>
    <n v="201"/>
    <s v="1.33"/>
    <n v="12"/>
    <s v="Vid"/>
    <x v="3"/>
    <s v="Ecofisiologia"/>
    <s v="Espaldero"/>
    <s v="Goteo"/>
    <s v="18 INTA"/>
    <n v="2011"/>
    <s v="1.29"/>
    <m/>
    <m/>
    <m/>
    <s v="Cultivo"/>
    <n v="130.59"/>
    <n v="110.61"/>
    <n v="164.27"/>
    <n v="120.08"/>
    <n v="114.1"/>
    <n v="115"/>
    <n v="81.900000000000006"/>
    <n v="71"/>
    <n v="108"/>
  </r>
  <r>
    <x v="14"/>
    <n v="56"/>
    <s v="1.62"/>
    <n v="19"/>
    <s v="Hortalizas"/>
    <x v="2"/>
    <s v="Cooperadora"/>
    <m/>
    <s v="Goteo"/>
    <m/>
    <m/>
    <s v="1.62"/>
    <m/>
    <m/>
    <m/>
    <s v="Cultivo"/>
    <m/>
    <m/>
    <m/>
    <m/>
    <m/>
    <m/>
    <m/>
    <m/>
    <m/>
  </r>
  <r>
    <x v="15"/>
    <n v="56"/>
    <s v="1.6"/>
    <n v="18"/>
    <s v="Vid"/>
    <x v="3"/>
    <s v="Vivero Claudia Lucero"/>
    <s v="Espaldero"/>
    <s v="Goteo"/>
    <s v="18 INTA"/>
    <n v="2017"/>
    <s v="1.65"/>
    <m/>
    <m/>
    <m/>
    <s v="Cultivo"/>
    <m/>
    <m/>
    <m/>
    <n v="55.61"/>
    <n v="161.9"/>
    <n v="153.6"/>
    <n v="208.4"/>
    <n v="221"/>
    <n v="192"/>
  </r>
  <r>
    <x v="16"/>
    <n v="8"/>
    <s v="0.6"/>
    <s v="13o"/>
    <s v="Vid"/>
    <x v="3"/>
    <m/>
    <s v="Espaldero"/>
    <s v="Goteo"/>
    <s v="18 INTA"/>
    <n v="2011"/>
    <s v="0.2"/>
    <m/>
    <m/>
    <m/>
    <s v="Cultivo"/>
    <m/>
    <m/>
    <m/>
    <n v="154.51"/>
    <n v="158.19999999999999"/>
    <n v="234.6"/>
    <n v="243.8"/>
    <n v="196"/>
    <n v="285"/>
  </r>
  <r>
    <x v="17"/>
    <n v="49"/>
    <s v="1.38"/>
    <n v="14"/>
    <s v="Vid"/>
    <x v="3"/>
    <s v="Lisímetro"/>
    <s v="Espaldero"/>
    <s v="Goteo"/>
    <m/>
    <n v="2011"/>
    <s v="1.36"/>
    <m/>
    <m/>
    <m/>
    <s v="Cultivo"/>
    <n v="174.25"/>
    <n v="187.73"/>
    <n v="253.75"/>
    <n v="205.04"/>
    <n v="230.8"/>
    <n v="214"/>
    <n v="166.2"/>
    <n v="171"/>
    <n v="177"/>
  </r>
  <r>
    <x v="18"/>
    <n v="31"/>
    <s v="0.71"/>
    <n v="16"/>
    <s v="Vid"/>
    <x v="8"/>
    <s v="Vivero Claudia Lucero"/>
    <s v="Espaldero"/>
    <s v="Goteo"/>
    <m/>
    <n v="2013"/>
    <s v="0.75"/>
    <m/>
    <m/>
    <m/>
    <s v="Cultivo"/>
    <n v="271.89"/>
    <n v="344.8"/>
    <n v="376.29"/>
    <n v="236.73"/>
    <n v="266.8"/>
    <n v="313.39999999999998"/>
    <n v="234.5"/>
    <n v="277"/>
    <n v="300"/>
  </r>
  <r>
    <x v="19"/>
    <n v="57"/>
    <s v="1.63"/>
    <n v="15"/>
    <s v="Vid"/>
    <x v="3"/>
    <s v="Claudia Lucero"/>
    <s v="Espaldero"/>
    <s v="Goteo"/>
    <m/>
    <n v="2012"/>
    <s v="1.52"/>
    <m/>
    <m/>
    <m/>
    <s v="Cultivo"/>
    <n v="191.35"/>
    <n v="285.25"/>
    <n v="194.52"/>
    <n v="147.93"/>
    <n v="222.2"/>
    <n v="188.3"/>
    <n v="174"/>
    <n v="208"/>
    <n v="230"/>
  </r>
  <r>
    <x v="20"/>
    <n v="9"/>
    <s v="0.48"/>
    <n v="20"/>
    <s v="Vid"/>
    <x v="9"/>
    <m/>
    <s v="Espaldero"/>
    <s v="Superficial"/>
    <m/>
    <n v="1996"/>
    <s v="0.43"/>
    <m/>
    <m/>
    <m/>
    <s v="Cultivo"/>
    <n v="39.11"/>
    <n v="48.32"/>
    <n v="65.94"/>
    <n v="20.100000000000001"/>
    <n v="53.8"/>
    <n v="11.9"/>
    <n v="12.1"/>
    <n v="21"/>
    <n v="17"/>
  </r>
  <r>
    <x v="21"/>
    <n v="13"/>
    <s v="0.36"/>
    <n v="21"/>
    <s v="Vid"/>
    <x v="0"/>
    <m/>
    <s v="Espaldero"/>
    <s v="Superficial"/>
    <m/>
    <n v="1996"/>
    <s v="0.37"/>
    <m/>
    <m/>
    <m/>
    <s v="Cultivo"/>
    <n v="141.83000000000001"/>
    <n v="137.30000000000001"/>
    <n v="181.3"/>
    <n v="197.5"/>
    <n v="218.5"/>
    <n v="158.5"/>
    <n v="100.4"/>
    <n v="187"/>
    <n v="179"/>
  </r>
  <r>
    <x v="22"/>
    <n v="16"/>
    <s v="0.51"/>
    <n v="22"/>
    <s v="Vid"/>
    <x v="0"/>
    <m/>
    <s v="Espaldero"/>
    <s v="Superficial"/>
    <m/>
    <n v="1996"/>
    <s v="0.46"/>
    <m/>
    <m/>
    <m/>
    <s v="Cultivo"/>
    <n v="45.15"/>
    <n v="76.260000000000005"/>
    <n v="71"/>
    <n v="74.430000000000007"/>
    <n v="104.4"/>
    <n v="77.8"/>
    <n v="61.4"/>
    <n v="98"/>
    <n v="81"/>
  </r>
  <r>
    <x v="23"/>
    <n v="16"/>
    <s v="0.52"/>
    <n v="23"/>
    <s v="Vid"/>
    <x v="10"/>
    <m/>
    <s v="Espaldero"/>
    <s v="Superficial"/>
    <m/>
    <n v="1997"/>
    <s v="0.49"/>
    <m/>
    <m/>
    <m/>
    <s v="Cultivo"/>
    <n v="167.42"/>
    <n v="139.24"/>
    <n v="192.28"/>
    <n v="141.04"/>
    <n v="134"/>
    <n v="65.7"/>
    <n v="75.900000000000006"/>
    <n v="107"/>
    <n v="106"/>
  </r>
  <r>
    <x v="24"/>
    <n v="16"/>
    <s v="0.51"/>
    <n v="24"/>
    <s v="Vid"/>
    <x v="11"/>
    <m/>
    <s v="Espaldero"/>
    <s v="Superficial"/>
    <m/>
    <n v="1996"/>
    <s v="0.48"/>
    <m/>
    <m/>
    <m/>
    <s v="Cultivo"/>
    <n v="88.86"/>
    <n v="75.239999999999995"/>
    <n v="99"/>
    <n v="117.6"/>
    <n v="137.4"/>
    <n v="101.2"/>
    <n v="0"/>
    <n v="129"/>
    <n v="90"/>
  </r>
  <r>
    <x v="25"/>
    <m/>
    <s v="2.95"/>
    <n v="31"/>
    <s v="Vid"/>
    <x v="12"/>
    <m/>
    <s v="Espaldero"/>
    <s v="Superficial"/>
    <m/>
    <n v="2021"/>
    <s v="1.1"/>
    <m/>
    <m/>
    <m/>
    <s v="Cultivo"/>
    <m/>
    <m/>
    <m/>
    <m/>
    <m/>
    <m/>
    <m/>
    <n v="8"/>
    <n v="52"/>
  </r>
  <r>
    <x v="26"/>
    <n v="36"/>
    <s v="1.08"/>
    <n v="26"/>
    <s v="Vid"/>
    <x v="3"/>
    <m/>
    <s v="Espaldero"/>
    <s v="Superficial"/>
    <m/>
    <n v="1998"/>
    <s v="1.04"/>
    <m/>
    <m/>
    <m/>
    <s v="Cultivo"/>
    <n v="86.69"/>
    <n v="98.54"/>
    <n v="110.61"/>
    <n v="106.73"/>
    <n v="175.2"/>
    <n v="141"/>
    <n v="90.2"/>
    <n v="178"/>
    <n v="233"/>
  </r>
  <r>
    <x v="27"/>
    <n v="27"/>
    <s v="0.7"/>
    <n v="30"/>
    <s v="Vid"/>
    <x v="3"/>
    <m/>
    <s v="Espaldero"/>
    <s v="Superficial"/>
    <m/>
    <n v="2016"/>
    <s v="0.7"/>
    <m/>
    <m/>
    <m/>
    <s v="Cultivo"/>
    <m/>
    <m/>
    <n v="109.56"/>
    <n v="105.71"/>
    <n v="173.5"/>
    <n v="194.4"/>
    <n v="89.4"/>
    <n v="176"/>
    <n v="231"/>
  </r>
  <r>
    <x v="28"/>
    <n v="14"/>
    <s v="0.33"/>
    <n v="25"/>
    <s v="Vid"/>
    <x v="13"/>
    <m/>
    <s v="Espaldero"/>
    <s v="Superficial"/>
    <m/>
    <n v="1996"/>
    <s v="0.41"/>
    <m/>
    <m/>
    <m/>
    <s v="Cultivo"/>
    <n v="110.48"/>
    <n v="99.55"/>
    <n v="81.430000000000007"/>
    <n v="93.27"/>
    <n v="152.1"/>
    <n v="56.8"/>
    <n v="69.599999999999994"/>
    <n v="144"/>
    <n v="129"/>
  </r>
  <r>
    <x v="29"/>
    <n v="14"/>
    <s v="0.42"/>
    <n v="32"/>
    <s v="Vid"/>
    <x v="3"/>
    <s v="S. Gomez Talquenca"/>
    <s v="Espaldero"/>
    <s v="Goteo"/>
    <m/>
    <n v="1994"/>
    <s v="0.41"/>
    <m/>
    <m/>
    <m/>
    <s v="Cultivo"/>
    <n v="123.55"/>
    <n v="145.84"/>
    <n v="195.4"/>
    <n v="157.77000000000001"/>
    <n v="146.5"/>
    <n v="135.1"/>
    <n v="113"/>
    <n v="155"/>
    <n v="159"/>
  </r>
  <r>
    <x v="30"/>
    <n v="4"/>
    <s v="0.09"/>
    <n v="33"/>
    <s v="Vid"/>
    <x v="5"/>
    <s v="Gustavo Aliquo"/>
    <s v="Espaldero"/>
    <s v="Goteo"/>
    <m/>
    <n v="1995"/>
    <s v="0.1"/>
    <m/>
    <m/>
    <m/>
    <s v="Cultivo"/>
    <m/>
    <m/>
    <m/>
    <m/>
    <m/>
    <m/>
    <m/>
    <m/>
    <m/>
  </r>
  <r>
    <x v="31"/>
    <n v="14"/>
    <s v="0.83"/>
    <n v="34"/>
    <s v="Vid"/>
    <x v="14"/>
    <s v="Santiago Sari"/>
    <s v="Espaldero"/>
    <s v="Goteo"/>
    <m/>
    <n v="2006"/>
    <s v="0.8"/>
    <m/>
    <m/>
    <m/>
    <s v="Cultivo"/>
    <n v="30.33"/>
    <n v="30.33"/>
    <n v="205.7"/>
    <n v="54.25"/>
    <n v="161"/>
    <n v="173.4"/>
    <n v="169.7"/>
    <n v="169"/>
    <n v="175"/>
  </r>
  <r>
    <x v="32"/>
    <n v="52"/>
    <s v="1.71"/>
    <n v="41"/>
    <s v="Vid"/>
    <x v="0"/>
    <m/>
    <s v="Parral"/>
    <s v="Goteo"/>
    <m/>
    <n v="1986"/>
    <s v="1.6"/>
    <m/>
    <m/>
    <m/>
    <s v="Cultivo"/>
    <n v="52.03"/>
    <n v="56.51"/>
    <n v="62.73"/>
    <n v="66.13"/>
    <n v="68.599999999999994"/>
    <n v="32.299999999999997"/>
    <n v="35.6"/>
    <n v="60"/>
    <n v="66"/>
  </r>
  <r>
    <x v="33"/>
    <n v="8"/>
    <s v="0.27"/>
    <s v="40.a"/>
    <s v="Vid"/>
    <x v="15"/>
    <s v="Claudia Lucero/Marisel Quiroga"/>
    <s v="Parral"/>
    <s v="Goteo"/>
    <m/>
    <n v="2019"/>
    <s v="0.3"/>
    <m/>
    <m/>
    <m/>
    <s v="Cultivo"/>
    <m/>
    <m/>
    <m/>
    <m/>
    <m/>
    <m/>
    <m/>
    <n v="63"/>
    <n v="109"/>
  </r>
  <r>
    <x v="34"/>
    <n v="47"/>
    <s v="1.22"/>
    <n v="40"/>
    <s v="Vid"/>
    <x v="16"/>
    <s v="Vivero Claudia Lucero"/>
    <s v="Espaldero"/>
    <s v="Goteo"/>
    <m/>
    <n v="2017"/>
    <s v="2.2"/>
    <m/>
    <m/>
    <m/>
    <s v="Cultivo"/>
    <m/>
    <m/>
    <m/>
    <n v="26.17"/>
    <n v="52.9"/>
    <n v="68.8"/>
    <n v="65.3"/>
    <n v="90"/>
    <n v="95"/>
  </r>
  <r>
    <x v="35"/>
    <n v="41"/>
    <s v="1.12"/>
    <n v="57"/>
    <s v="Vid"/>
    <x v="6"/>
    <m/>
    <s v="Parral"/>
    <s v="Superficial"/>
    <m/>
    <n v="1987"/>
    <s v="1.11"/>
    <m/>
    <m/>
    <m/>
    <s v="Cultivo"/>
    <n v="143.01"/>
    <n v="140.66"/>
    <n v="128.65"/>
    <n v="97.13"/>
    <n v="104.8"/>
    <n v="99.5"/>
    <n v="71.900000000000006"/>
    <n v="76"/>
    <n v="124"/>
  </r>
  <r>
    <x v="36"/>
    <n v="70"/>
    <s v="1.09"/>
    <n v="56"/>
    <s v="Vid"/>
    <x v="17"/>
    <m/>
    <s v="Parral"/>
    <s v="Superficial"/>
    <m/>
    <n v="1987"/>
    <s v="0.99"/>
    <m/>
    <m/>
    <m/>
    <s v="Cultivo"/>
    <n v="86.2"/>
    <n v="96.72"/>
    <n v="101.52"/>
    <n v="105.2"/>
    <n v="99.8"/>
    <n v="67.7"/>
    <n v="74.599999999999994"/>
    <n v="99"/>
    <n v="119"/>
  </r>
  <r>
    <x v="37"/>
    <n v="70"/>
    <s v="0.99"/>
    <n v="55"/>
    <s v="Vid"/>
    <x v="0"/>
    <m/>
    <s v="Parral"/>
    <s v="Superficial"/>
    <m/>
    <n v="1987"/>
    <s v="0.93"/>
    <m/>
    <m/>
    <m/>
    <s v="Cultivo"/>
    <n v="106.3"/>
    <n v="134.59"/>
    <n v="125.61"/>
    <n v="79.349999999999994"/>
    <n v="90.8"/>
    <n v="75.7"/>
    <n v="48.1"/>
    <n v="94"/>
    <n v="90"/>
  </r>
  <r>
    <x v="38"/>
    <n v="30"/>
    <s v="0.95"/>
    <n v="54"/>
    <s v="Vid"/>
    <x v="3"/>
    <s v="Martin Uliarte/Geogina Escoriaza"/>
    <s v="Espaldero"/>
    <s v="Goteo"/>
    <s v="18 INTA"/>
    <n v="2017"/>
    <n v="1"/>
    <m/>
    <m/>
    <m/>
    <s v="Cultivo"/>
    <m/>
    <m/>
    <m/>
    <n v="33.94"/>
    <n v="107.5"/>
    <n v="155.19999999999999"/>
    <n v="198"/>
    <n v="173"/>
    <n v="126"/>
  </r>
  <r>
    <x v="39"/>
    <n v="14"/>
    <s v="0.44"/>
    <n v="53"/>
    <s v="Vid"/>
    <x v="16"/>
    <m/>
    <s v="Espaldero"/>
    <s v="Superficial"/>
    <m/>
    <m/>
    <s v="0.44"/>
    <m/>
    <m/>
    <m/>
    <s v="Cultivo"/>
    <n v="181.19"/>
    <n v="168.81"/>
    <n v="191.74"/>
    <n v="142.13"/>
    <n v="161.1"/>
    <n v="160.30000000000001"/>
    <n v="170.5"/>
    <n v="213"/>
    <n v="224"/>
  </r>
  <r>
    <x v="40"/>
    <n v="35"/>
    <s v="1.09"/>
    <n v="52"/>
    <s v="Vid"/>
    <x v="18"/>
    <m/>
    <s v="Parral"/>
    <s v="Superficial"/>
    <m/>
    <n v="1981"/>
    <s v="1.06"/>
    <m/>
    <m/>
    <m/>
    <s v="Cultivo"/>
    <n v="283.32"/>
    <n v="172.28"/>
    <n v="180.56"/>
    <n v="158.63999999999999"/>
    <n v="151.80000000000001"/>
    <n v="208.2"/>
    <n v="173.5"/>
    <n v="194"/>
    <n v="294"/>
  </r>
  <r>
    <x v="41"/>
    <n v="10"/>
    <s v="0.29"/>
    <n v="51"/>
    <s v="Vid"/>
    <x v="6"/>
    <m/>
    <s v="Parral"/>
    <s v="Superficial"/>
    <m/>
    <n v="1981"/>
    <s v="0.28"/>
    <m/>
    <m/>
    <m/>
    <s v="Cultivo"/>
    <n v="167.09"/>
    <n v="167.09"/>
    <n v="167.55"/>
    <n v="128.41999999999999"/>
    <n v="185.4"/>
    <n v="175.7"/>
    <n v="115.6"/>
    <n v="176"/>
    <n v="222"/>
  </r>
  <r>
    <x v="42"/>
    <n v="13"/>
    <s v="0.41"/>
    <n v="50"/>
    <s v="Vid"/>
    <x v="18"/>
    <m/>
    <s v="Parral"/>
    <s v="Superficial"/>
    <m/>
    <m/>
    <s v="0.41"/>
    <m/>
    <m/>
    <m/>
    <s v="Cultivo"/>
    <m/>
    <n v="138.19999999999999"/>
    <n v="175.97"/>
    <n v="134.84"/>
    <n v="186.9"/>
    <n v="219.5"/>
    <n v="117.9"/>
    <n v="185"/>
    <n v="306"/>
  </r>
  <r>
    <x v="43"/>
    <n v="32"/>
    <s v="0.58"/>
    <n v="49"/>
    <s v="Vid"/>
    <x v="18"/>
    <m/>
    <s v="Parral"/>
    <s v="Superficial"/>
    <m/>
    <n v="1981"/>
    <s v="0.58"/>
    <m/>
    <m/>
    <m/>
    <s v="Cultivo"/>
    <m/>
    <n v="138.19999999999999"/>
    <n v="175.97"/>
    <n v="134.84"/>
    <n v="186.9"/>
    <n v="219.5"/>
    <n v="117.9"/>
    <n v="185"/>
    <n v="306"/>
  </r>
  <r>
    <x v="44"/>
    <n v="10"/>
    <s v="0.2"/>
    <n v="48"/>
    <s v="Vid"/>
    <x v="3"/>
    <m/>
    <s v="Espaldero-Casarsa"/>
    <s v="Superficial"/>
    <s v="19 INTA"/>
    <n v="2019"/>
    <s v="0.4"/>
    <m/>
    <m/>
    <m/>
    <s v="Cultivo"/>
    <n v="106.02"/>
    <n v="83.88"/>
    <n v="18.39"/>
    <n v="0"/>
    <n v="0"/>
    <n v="0"/>
    <n v="7.7"/>
    <n v="9"/>
    <n v="31"/>
  </r>
  <r>
    <x v="45"/>
    <n v="12"/>
    <s v="0.19"/>
    <n v="47"/>
    <s v="Vid"/>
    <x v="3"/>
    <m/>
    <s v="Espaldero"/>
    <s v="Superficial"/>
    <m/>
    <n v="1999"/>
    <s v="0.2"/>
    <m/>
    <m/>
    <m/>
    <s v="Cultivo"/>
    <m/>
    <m/>
    <n v="89.57"/>
    <n v="69.59"/>
    <n v="117.5"/>
    <n v="76.5"/>
    <n v="62.9"/>
    <n v="90"/>
    <n v="88"/>
  </r>
  <r>
    <x v="46"/>
    <n v="12"/>
    <s v="0.18"/>
    <s v="47.a"/>
    <s v="Vid"/>
    <x v="0"/>
    <m/>
    <s v="Espaldero"/>
    <s v="Superficial"/>
    <m/>
    <n v="1999"/>
    <s v="0.18"/>
    <m/>
    <m/>
    <m/>
    <s v="Cultivo"/>
    <m/>
    <m/>
    <n v="102.2"/>
    <n v="76.86"/>
    <n v="117.8"/>
    <n v="72.400000000000006"/>
    <n v="82.8"/>
    <n v="33"/>
    <n v="86"/>
  </r>
  <r>
    <x v="47"/>
    <m/>
    <s v="1.89"/>
    <n v="42"/>
    <s v="Inculto"/>
    <x v="2"/>
    <m/>
    <m/>
    <s v="Superficial"/>
    <m/>
    <m/>
    <s v="1.91"/>
    <m/>
    <m/>
    <m/>
    <s v="Cultivo"/>
    <m/>
    <m/>
    <m/>
    <m/>
    <m/>
    <m/>
    <m/>
    <m/>
    <m/>
  </r>
  <r>
    <x v="48"/>
    <n v="30"/>
    <s v="1.05"/>
    <n v="43"/>
    <s v="Vid"/>
    <x v="3"/>
    <s v="Claudia Lucero"/>
    <s v="Espaldero"/>
    <s v="Superficial"/>
    <m/>
    <n v="2001"/>
    <n v="1"/>
    <m/>
    <m/>
    <m/>
    <s v="Cultivo"/>
    <n v="132.33000000000001"/>
    <n v="106.75"/>
    <n v="90.24"/>
    <n v="73.3"/>
    <n v="59.6"/>
    <n v="52.2"/>
    <n v="19.100000000000001"/>
    <n v="62"/>
    <n v="81"/>
  </r>
  <r>
    <x v="49"/>
    <n v="33"/>
    <s v="1.43"/>
    <n v="44"/>
    <s v="Vid"/>
    <x v="11"/>
    <m/>
    <s v="Espaldero"/>
    <s v="Superficial"/>
    <m/>
    <n v="2001"/>
    <s v="1.39"/>
    <m/>
    <m/>
    <m/>
    <s v="Cultivo"/>
    <n v="187.43"/>
    <n v="225.72"/>
    <n v="206.5"/>
    <n v="181.9"/>
    <n v="255.7"/>
    <n v="196.1"/>
    <n v="168.2"/>
    <n v="200"/>
    <n v="166"/>
  </r>
  <r>
    <x v="50"/>
    <n v="35"/>
    <s v="1.26"/>
    <n v="45"/>
    <s v="Vid"/>
    <x v="19"/>
    <m/>
    <s v="Espaldero"/>
    <s v="Superficial"/>
    <m/>
    <n v="1981"/>
    <s v="1.24"/>
    <m/>
    <m/>
    <m/>
    <s v="Cultivo"/>
    <n v="38.15"/>
    <n v="16.87"/>
    <n v="18.3"/>
    <n v="19.87"/>
    <n v="22"/>
    <n v="26.4"/>
    <n v="21.2"/>
    <n v="22"/>
    <n v="0"/>
  </r>
  <r>
    <x v="51"/>
    <m/>
    <s v="3.24"/>
    <n v="46"/>
    <s v="Inculto"/>
    <x v="2"/>
    <m/>
    <m/>
    <s v="Superficial"/>
    <m/>
    <m/>
    <s v="3.19"/>
    <m/>
    <m/>
    <m/>
    <s v="Cultivo"/>
    <m/>
    <m/>
    <m/>
    <m/>
    <m/>
    <m/>
    <m/>
    <m/>
    <m/>
  </r>
  <r>
    <x v="52"/>
    <n v="19"/>
    <s v="0.41"/>
    <n v="58"/>
    <s v="Vid"/>
    <x v="0"/>
    <m/>
    <s v="Espaldero"/>
    <s v="Superficial"/>
    <m/>
    <n v="1994"/>
    <s v="0.4"/>
    <m/>
    <m/>
    <m/>
    <s v="Cultivo"/>
    <n v="244.35"/>
    <n v="300.89999999999998"/>
    <n v="358"/>
    <n v="363.08"/>
    <n v="75.400000000000006"/>
    <n v="44.5"/>
    <n v="46.4"/>
    <n v="48"/>
    <n v="40"/>
  </r>
  <r>
    <x v="53"/>
    <m/>
    <s v="6.59"/>
    <n v="59"/>
    <s v="Inculto"/>
    <x v="2"/>
    <m/>
    <m/>
    <s v="Superficial"/>
    <m/>
    <m/>
    <s v="6.59"/>
    <m/>
    <m/>
    <m/>
    <s v="Cultivo"/>
    <m/>
    <m/>
    <m/>
    <m/>
    <m/>
    <m/>
    <m/>
    <m/>
    <m/>
  </r>
  <r>
    <x v="54"/>
    <n v="12"/>
    <s v="0.88"/>
    <n v="17"/>
    <s v="Vid"/>
    <x v="3"/>
    <m/>
    <s v="Espaldero"/>
    <s v="Goteo"/>
    <s v="19 INTA"/>
    <n v="2016"/>
    <s v="0.33"/>
    <m/>
    <m/>
    <m/>
    <s v="Cultivo"/>
    <m/>
    <m/>
    <n v="161.16999999999999"/>
    <n v="164.03"/>
    <n v="234.4"/>
    <n v="193.4"/>
    <n v="205.7"/>
    <n v="268"/>
    <n v="261"/>
  </r>
  <r>
    <x v="55"/>
    <n v="55"/>
    <s v="1.79"/>
    <n v="35"/>
    <s v="Vid"/>
    <x v="20"/>
    <s v="Gustavo Aliquo"/>
    <s v="Espaldero"/>
    <s v="Goteo"/>
    <m/>
    <n v="2006"/>
    <s v="1.81"/>
    <m/>
    <m/>
    <m/>
    <s v="Cultivo"/>
    <n v="206.19"/>
    <n v="214.3"/>
    <n v="95.77"/>
    <n v="78"/>
    <n v="120.05"/>
    <n v="119.2"/>
    <n v="111.9"/>
    <n v="78"/>
    <n v="127"/>
  </r>
  <r>
    <x v="56"/>
    <n v="10"/>
    <s v="0.57"/>
    <n v="36"/>
    <s v="Vid"/>
    <x v="21"/>
    <s v="Gustavo Aliquo"/>
    <s v="Espaldero"/>
    <s v="Goteo"/>
    <m/>
    <m/>
    <s v="0.48"/>
    <m/>
    <m/>
    <m/>
    <s v="Cultivo"/>
    <m/>
    <m/>
    <m/>
    <m/>
    <n v="62.6"/>
    <n v="63.4"/>
    <n v="17.399999999999999"/>
    <n v="19"/>
    <n v="38"/>
  </r>
  <r>
    <x v="57"/>
    <n v="19"/>
    <s v="0.69"/>
    <s v="39.3"/>
    <s v="Vid"/>
    <x v="3"/>
    <s v="Gustavo Aliquo"/>
    <s v="Espaldero"/>
    <s v="Goteo"/>
    <s v="18 INTA"/>
    <n v="2017"/>
    <s v="0.68"/>
    <m/>
    <m/>
    <m/>
    <s v="Cultivo"/>
    <m/>
    <m/>
    <m/>
    <n v="11.35"/>
    <n v="77.599999999999994"/>
    <n v="192.3"/>
    <n v="133.4"/>
    <n v="204"/>
    <n v="130"/>
  </r>
  <r>
    <x v="58"/>
    <n v="6"/>
    <s v="0.18"/>
    <s v="39.2"/>
    <s v="Vid"/>
    <x v="3"/>
    <s v="Gustavo Aliquo"/>
    <s v="Espaldero"/>
    <s v="Goteo"/>
    <m/>
    <m/>
    <s v="0.2"/>
    <m/>
    <m/>
    <m/>
    <s v="Cultivo"/>
    <m/>
    <m/>
    <m/>
    <m/>
    <m/>
    <n v="28.2"/>
    <n v="32.799999999999997"/>
    <n v="175"/>
    <n v="184"/>
  </r>
  <r>
    <x v="59"/>
    <n v="15"/>
    <s v="0.43"/>
    <s v="39.1"/>
    <s v="Vid"/>
    <x v="22"/>
    <s v="Claudia Lucero"/>
    <m/>
    <m/>
    <m/>
    <m/>
    <s v="0.45"/>
    <m/>
    <m/>
    <m/>
    <s v="Cultivo"/>
    <m/>
    <m/>
    <m/>
    <m/>
    <m/>
    <m/>
    <m/>
    <m/>
    <m/>
  </r>
  <r>
    <x v="60"/>
    <n v="4"/>
    <s v="0.13"/>
    <n v="39"/>
    <s v="Vid"/>
    <x v="6"/>
    <s v="Cooperadora"/>
    <s v="Espaldero"/>
    <s v="Goteo"/>
    <m/>
    <n v="2011"/>
    <s v="0.25"/>
    <m/>
    <m/>
    <m/>
    <s v="Cultivo"/>
    <n v="153.03"/>
    <n v="169.82"/>
    <n v="145.97"/>
    <n v="116.6"/>
    <n v="130.19999999999999"/>
    <n v="140.19999999999999"/>
    <n v="121.5"/>
    <n v="116"/>
    <n v="104"/>
  </r>
  <r>
    <x v="61"/>
    <n v="4"/>
    <s v="0.13"/>
    <s v="38.1"/>
    <s v="Vid"/>
    <x v="3"/>
    <s v="Cooperadora"/>
    <s v="Espaldero"/>
    <s v="Goteo"/>
    <m/>
    <n v="2011"/>
    <s v="0.25"/>
    <m/>
    <m/>
    <m/>
    <s v="Cultivo"/>
    <n v="291.2"/>
    <n v="146.32"/>
    <n v="165.11"/>
    <n v="168.1"/>
    <n v="151.69999999999999"/>
    <n v="155.4"/>
    <n v="111.8"/>
    <n v="141"/>
    <n v="79"/>
  </r>
  <r>
    <x v="62"/>
    <n v="8"/>
    <s v="0.26"/>
    <n v="38"/>
    <s v="Vid"/>
    <x v="23"/>
    <m/>
    <s v="Espaldero"/>
    <s v="Goteo"/>
    <m/>
    <n v="2017"/>
    <s v="0.25"/>
    <m/>
    <m/>
    <m/>
    <s v="Cultivo"/>
    <m/>
    <m/>
    <m/>
    <m/>
    <m/>
    <m/>
    <m/>
    <m/>
    <m/>
  </r>
  <r>
    <x v="63"/>
    <m/>
    <s v="0.43"/>
    <n v="37"/>
    <s v="Hortalizas"/>
    <x v="2"/>
    <m/>
    <m/>
    <m/>
    <m/>
    <m/>
    <s v="0.43"/>
    <m/>
    <m/>
    <m/>
    <s v="Cultivo"/>
    <m/>
    <m/>
    <m/>
    <m/>
    <m/>
    <m/>
    <m/>
    <m/>
    <m/>
  </r>
  <r>
    <x v="64"/>
    <m/>
    <s v="0.02"/>
    <n v="60"/>
    <s v="Tomate"/>
    <x v="2"/>
    <s v="German Aguado"/>
    <m/>
    <m/>
    <m/>
    <m/>
    <s v="0.02"/>
    <s v="Hortalizas"/>
    <s v="24.2"/>
    <s v="10.05"/>
    <s v="Invernaculo"/>
    <m/>
    <m/>
    <m/>
    <m/>
    <m/>
    <m/>
    <m/>
    <m/>
    <m/>
  </r>
  <r>
    <x v="65"/>
    <m/>
    <s v="0.02"/>
    <n v="61"/>
    <s v="Flores"/>
    <x v="2"/>
    <s v="Gabriel Pisi"/>
    <m/>
    <m/>
    <m/>
    <m/>
    <s v="0.02"/>
    <s v="Flores"/>
    <n v="32"/>
    <s v="6.2"/>
    <s v="Invernaculo"/>
    <m/>
    <m/>
    <m/>
    <m/>
    <m/>
    <m/>
    <m/>
    <m/>
    <m/>
  </r>
  <r>
    <x v="66"/>
    <m/>
    <s v="0.01"/>
    <n v="74"/>
    <m/>
    <x v="2"/>
    <s v="Cooperadora"/>
    <m/>
    <m/>
    <m/>
    <m/>
    <s v="0.01"/>
    <s v="Deposito Cooperadora"/>
    <m/>
    <m/>
    <s v="Edificio"/>
    <m/>
    <m/>
    <m/>
    <m/>
    <m/>
    <m/>
    <m/>
    <m/>
    <m/>
  </r>
  <r>
    <x v="67"/>
    <m/>
    <s v="0.01"/>
    <n v="63"/>
    <m/>
    <x v="2"/>
    <s v="Virologia"/>
    <m/>
    <m/>
    <m/>
    <m/>
    <s v="0.01"/>
    <m/>
    <n v="12"/>
    <n v="7"/>
    <s v="Invernaculo"/>
    <m/>
    <m/>
    <m/>
    <m/>
    <m/>
    <m/>
    <m/>
    <m/>
    <m/>
  </r>
  <r>
    <x v="68"/>
    <m/>
    <s v="0.02"/>
    <n v="64"/>
    <m/>
    <x v="2"/>
    <m/>
    <m/>
    <m/>
    <m/>
    <m/>
    <s v="0.02"/>
    <m/>
    <s v="28.7"/>
    <n v="11"/>
    <s v="Invernaculo"/>
    <m/>
    <m/>
    <m/>
    <m/>
    <m/>
    <m/>
    <m/>
    <m/>
    <m/>
  </r>
  <r>
    <x v="69"/>
    <m/>
    <s v="0.01"/>
    <n v="65"/>
    <m/>
    <x v="2"/>
    <s v="Claudia Lucero"/>
    <m/>
    <m/>
    <m/>
    <m/>
    <s v="0.01"/>
    <s v="Multiplicacion plantines de vid"/>
    <n v="16"/>
    <s v="6.3"/>
    <s v="Invernaculo"/>
    <m/>
    <m/>
    <m/>
    <m/>
    <m/>
    <m/>
    <m/>
    <m/>
    <m/>
  </r>
  <r>
    <x v="70"/>
    <m/>
    <s v="0.01"/>
    <n v="66"/>
    <m/>
    <x v="2"/>
    <m/>
    <m/>
    <m/>
    <m/>
    <m/>
    <s v="0.01"/>
    <m/>
    <n v="12"/>
    <s v="6.2"/>
    <s v="Invernaculo"/>
    <m/>
    <m/>
    <m/>
    <m/>
    <m/>
    <m/>
    <m/>
    <m/>
    <m/>
  </r>
  <r>
    <x v="71"/>
    <m/>
    <s v="0.01"/>
    <n v="68"/>
    <s v="Hidroponia"/>
    <x v="2"/>
    <s v="Juan C. Casciani"/>
    <m/>
    <m/>
    <m/>
    <m/>
    <s v="0.01"/>
    <s v="Hidroponia"/>
    <s v="8.1"/>
    <s v="6.25"/>
    <s v="Invernaculo"/>
    <m/>
    <m/>
    <m/>
    <m/>
    <m/>
    <m/>
    <m/>
    <m/>
    <m/>
  </r>
  <r>
    <x v="72"/>
    <m/>
    <s v="0.01"/>
    <n v="69"/>
    <m/>
    <x v="2"/>
    <m/>
    <m/>
    <m/>
    <m/>
    <m/>
    <s v="0.01"/>
    <m/>
    <s v="10.15"/>
    <s v="6.4"/>
    <s v="Invernaculo"/>
    <m/>
    <m/>
    <m/>
    <m/>
    <m/>
    <m/>
    <m/>
    <m/>
    <m/>
  </r>
  <r>
    <x v="73"/>
    <m/>
    <s v="0.04"/>
    <n v="67"/>
    <m/>
    <x v="2"/>
    <m/>
    <m/>
    <m/>
    <m/>
    <m/>
    <s v="0.04"/>
    <m/>
    <n v="46"/>
    <n v="8"/>
    <s v="Invernaculo"/>
    <m/>
    <m/>
    <m/>
    <m/>
    <m/>
    <m/>
    <m/>
    <m/>
    <m/>
  </r>
  <r>
    <x v="74"/>
    <m/>
    <s v="0.1"/>
    <n v="70"/>
    <m/>
    <x v="2"/>
    <s v="Edificio Central"/>
    <m/>
    <m/>
    <m/>
    <m/>
    <s v="0.1"/>
    <s v="Edificio Central"/>
    <m/>
    <m/>
    <s v="Edificio"/>
    <m/>
    <m/>
    <m/>
    <m/>
    <m/>
    <m/>
    <m/>
    <m/>
    <m/>
  </r>
  <r>
    <x v="75"/>
    <m/>
    <s v="0.05"/>
    <n v="71"/>
    <m/>
    <x v="2"/>
    <s v="Laboratorios BID2"/>
    <m/>
    <m/>
    <m/>
    <m/>
    <s v="0.05"/>
    <s v="Laboratorios BID2"/>
    <m/>
    <m/>
    <s v="Edificio"/>
    <m/>
    <m/>
    <m/>
    <m/>
    <m/>
    <m/>
    <m/>
    <m/>
    <m/>
  </r>
  <r>
    <x v="76"/>
    <m/>
    <s v="0.12"/>
    <n v="72"/>
    <m/>
    <x v="2"/>
    <s v="Laboratorios BID1"/>
    <m/>
    <m/>
    <m/>
    <m/>
    <s v="0.12"/>
    <s v="Laboratorios BID1"/>
    <m/>
    <m/>
    <s v="Edificio"/>
    <m/>
    <m/>
    <m/>
    <m/>
    <m/>
    <m/>
    <m/>
    <m/>
    <m/>
  </r>
  <r>
    <x v="77"/>
    <m/>
    <s v="0.01"/>
    <n v="73"/>
    <m/>
    <x v="2"/>
    <s v="Rodrigo Espindola"/>
    <m/>
    <m/>
    <m/>
    <m/>
    <s v="0.01"/>
    <s v="Agencia de Extension Rural"/>
    <m/>
    <m/>
    <s v="Edificio"/>
    <m/>
    <m/>
    <m/>
    <m/>
    <m/>
    <m/>
    <m/>
    <m/>
    <m/>
  </r>
  <r>
    <x v="78"/>
    <m/>
    <s v="0.02"/>
    <n v="62"/>
    <m/>
    <x v="2"/>
    <s v="Inv_Cooperadora"/>
    <m/>
    <m/>
    <m/>
    <m/>
    <s v="0.02"/>
    <s v="Cooperadora2"/>
    <s v="19.7"/>
    <s v="8.1"/>
    <s v="Invernaculo"/>
    <m/>
    <m/>
    <m/>
    <m/>
    <m/>
    <m/>
    <m/>
    <m/>
    <m/>
  </r>
  <r>
    <x v="79"/>
    <m/>
    <s v="0.02"/>
    <n v="75"/>
    <m/>
    <x v="2"/>
    <s v="Casa"/>
    <m/>
    <m/>
    <m/>
    <m/>
    <s v="0.02"/>
    <s v="Vivienda"/>
    <m/>
    <m/>
    <s v="Edificio"/>
    <m/>
    <m/>
    <m/>
    <m/>
    <m/>
    <m/>
    <m/>
    <m/>
    <m/>
  </r>
  <r>
    <x v="80"/>
    <m/>
    <s v="0.02"/>
    <n v="76"/>
    <m/>
    <x v="2"/>
    <s v="Nodo Becarios/Higiene y Seguridad"/>
    <m/>
    <m/>
    <m/>
    <m/>
    <s v="0.02"/>
    <s v="Nodo Becarios/Higiene y Seguridad"/>
    <m/>
    <m/>
    <s v="Edificio"/>
    <m/>
    <m/>
    <m/>
    <m/>
    <m/>
    <m/>
    <m/>
    <m/>
    <m/>
  </r>
  <r>
    <x v="81"/>
    <m/>
    <s v="0.02"/>
    <n v="89"/>
    <m/>
    <x v="2"/>
    <s v="Alejandro Ambrogetti"/>
    <m/>
    <m/>
    <m/>
    <m/>
    <s v="0.02"/>
    <s v="Talleres"/>
    <m/>
    <m/>
    <s v="Edificio"/>
    <m/>
    <m/>
    <m/>
    <m/>
    <m/>
    <m/>
    <m/>
    <m/>
    <m/>
  </r>
  <r>
    <x v="82"/>
    <m/>
    <s v="0.03"/>
    <n v="77"/>
    <m/>
    <x v="2"/>
    <s v="Deposito"/>
    <m/>
    <m/>
    <m/>
    <m/>
    <s v="0.03"/>
    <s v="Deposito"/>
    <m/>
    <m/>
    <s v="Edificio"/>
    <m/>
    <m/>
    <m/>
    <m/>
    <m/>
    <m/>
    <m/>
    <m/>
    <m/>
  </r>
  <r>
    <x v="83"/>
    <m/>
    <s v="0.01"/>
    <n v="78"/>
    <m/>
    <x v="2"/>
    <s v="Deposito"/>
    <m/>
    <m/>
    <m/>
    <m/>
    <s v="0.01"/>
    <s v="Deposito"/>
    <m/>
    <m/>
    <s v="Edificio"/>
    <m/>
    <m/>
    <m/>
    <m/>
    <m/>
    <m/>
    <m/>
    <m/>
    <m/>
  </r>
  <r>
    <x v="84"/>
    <m/>
    <s v="0.01"/>
    <n v="79"/>
    <m/>
    <x v="2"/>
    <s v="Deposito"/>
    <m/>
    <m/>
    <m/>
    <m/>
    <s v="0.01"/>
    <s v="Deposito"/>
    <m/>
    <m/>
    <s v="Edificio"/>
    <m/>
    <m/>
    <m/>
    <m/>
    <m/>
    <m/>
    <m/>
    <m/>
    <m/>
  </r>
  <r>
    <x v="85"/>
    <m/>
    <s v="0.05"/>
    <n v="86"/>
    <m/>
    <x v="2"/>
    <s v="Deposito"/>
    <m/>
    <m/>
    <m/>
    <m/>
    <s v="0.05"/>
    <s v="Deposito"/>
    <m/>
    <m/>
    <s v="Edificio"/>
    <m/>
    <m/>
    <m/>
    <m/>
    <m/>
    <m/>
    <m/>
    <m/>
    <m/>
  </r>
  <r>
    <x v="86"/>
    <m/>
    <s v="0.01"/>
    <n v="80"/>
    <m/>
    <x v="2"/>
    <s v="Deposito"/>
    <m/>
    <m/>
    <m/>
    <m/>
    <s v="0.01"/>
    <s v="Deposito"/>
    <m/>
    <m/>
    <s v="Edificio"/>
    <m/>
    <m/>
    <m/>
    <m/>
    <m/>
    <m/>
    <m/>
    <m/>
    <m/>
  </r>
  <r>
    <x v="3"/>
    <m/>
    <s v="0.15"/>
    <n v="81"/>
    <m/>
    <x v="2"/>
    <s v="Santiago Sari"/>
    <m/>
    <m/>
    <m/>
    <m/>
    <s v="0.15"/>
    <s v="Bodega o Centro de Estudios Enologicos"/>
    <m/>
    <m/>
    <s v="Edificio"/>
    <m/>
    <m/>
    <m/>
    <m/>
    <m/>
    <m/>
    <m/>
    <m/>
    <m/>
  </r>
  <r>
    <x v="2"/>
    <m/>
    <s v="0.04"/>
    <n v="82"/>
    <m/>
    <x v="2"/>
    <s v="Martin Uliarte"/>
    <m/>
    <m/>
    <m/>
    <m/>
    <s v="0.04"/>
    <s v="Agrotecnologia Sostenible"/>
    <m/>
    <m/>
    <s v="Edificio"/>
    <m/>
    <m/>
    <m/>
    <m/>
    <m/>
    <m/>
    <m/>
    <m/>
    <m/>
  </r>
  <r>
    <x v="87"/>
    <m/>
    <s v="0.04"/>
    <n v="83"/>
    <m/>
    <x v="2"/>
    <s v="Marisel Quiroga"/>
    <m/>
    <m/>
    <m/>
    <m/>
    <s v="0.04"/>
    <s v="Agroalimentos/Postcosecha/Aromas"/>
    <m/>
    <m/>
    <s v="Edificio"/>
    <m/>
    <m/>
    <m/>
    <m/>
    <m/>
    <m/>
    <m/>
    <m/>
    <m/>
  </r>
  <r>
    <x v="88"/>
    <m/>
    <s v="0.03"/>
    <n v="84"/>
    <m/>
    <x v="2"/>
    <s v="Marcos Montoya"/>
    <m/>
    <m/>
    <m/>
    <m/>
    <s v="0.03"/>
    <s v="Geomatica y Agricultura de Precision"/>
    <m/>
    <m/>
    <s v="Edificio"/>
    <m/>
    <m/>
    <m/>
    <m/>
    <m/>
    <m/>
    <m/>
    <m/>
    <m/>
  </r>
  <r>
    <x v="89"/>
    <m/>
    <s v="0.04"/>
    <n v="85"/>
    <m/>
    <x v="2"/>
    <s v="Casa"/>
    <m/>
    <m/>
    <m/>
    <m/>
    <s v="0.04"/>
    <s v="Vivienda"/>
    <m/>
    <m/>
    <s v="Edificio"/>
    <m/>
    <m/>
    <m/>
    <m/>
    <m/>
    <m/>
    <m/>
    <m/>
    <m/>
  </r>
  <r>
    <x v="90"/>
    <m/>
    <s v="0.01"/>
    <n v="87"/>
    <m/>
    <x v="2"/>
    <s v="Estacionamiento"/>
    <m/>
    <m/>
    <m/>
    <m/>
    <s v="0.01"/>
    <s v="Estacionamiento"/>
    <m/>
    <m/>
    <s v="Media Sombra"/>
    <m/>
    <m/>
    <m/>
    <m/>
    <m/>
    <m/>
    <m/>
    <m/>
    <m/>
  </r>
  <r>
    <x v="91"/>
    <m/>
    <s v="0.03"/>
    <n v="88"/>
    <m/>
    <x v="2"/>
    <s v="Deposito Agroquimicos"/>
    <m/>
    <m/>
    <m/>
    <m/>
    <s v="0.03"/>
    <s v="Deposito"/>
    <m/>
    <m/>
    <s v="Edificio"/>
    <m/>
    <m/>
    <m/>
    <m/>
    <m/>
    <m/>
    <m/>
    <m/>
    <m/>
  </r>
  <r>
    <x v="92"/>
    <m/>
    <s v="0.06"/>
    <m/>
    <m/>
    <x v="2"/>
    <m/>
    <m/>
    <m/>
    <m/>
    <m/>
    <s v="0.06"/>
    <s v="Deposito"/>
    <m/>
    <m/>
    <s v="Estructura"/>
    <m/>
    <m/>
    <m/>
    <m/>
    <m/>
    <m/>
    <m/>
    <m/>
    <m/>
  </r>
  <r>
    <x v="93"/>
    <m/>
    <m/>
    <m/>
    <m/>
    <x v="2"/>
    <s v="Sergio Estrella"/>
    <m/>
    <m/>
    <m/>
    <m/>
    <s v="0.01"/>
    <s v="Fundacion ArgenINTA"/>
    <m/>
    <m/>
    <s v="Edificio"/>
    <m/>
    <m/>
    <m/>
    <m/>
    <m/>
    <m/>
    <m/>
    <m/>
    <m/>
  </r>
  <r>
    <x v="94"/>
    <m/>
    <m/>
    <m/>
    <m/>
    <x v="2"/>
    <s v="Claudio Galmarini"/>
    <m/>
    <m/>
    <m/>
    <m/>
    <s v="0.03"/>
    <s v="Centro Regional Mendoza-San Juan"/>
    <m/>
    <m/>
    <s v="Edificio"/>
    <m/>
    <m/>
    <m/>
    <m/>
    <m/>
    <m/>
    <m/>
    <m/>
    <m/>
  </r>
  <r>
    <x v="95"/>
    <m/>
    <m/>
    <m/>
    <m/>
    <x v="2"/>
    <s v="Club"/>
    <m/>
    <m/>
    <m/>
    <m/>
    <s v="0.04"/>
    <s v="Club"/>
    <m/>
    <m/>
    <s v="Edificio"/>
    <m/>
    <m/>
    <m/>
    <m/>
    <m/>
    <m/>
    <m/>
    <m/>
    <m/>
  </r>
  <r>
    <x v="96"/>
    <m/>
    <m/>
    <m/>
    <m/>
    <x v="2"/>
    <s v="Roque Tenerini"/>
    <m/>
    <m/>
    <m/>
    <m/>
    <s v="0.01"/>
    <s v="Almacen de la Cooperadora"/>
    <m/>
    <m/>
    <s v="Edificio"/>
    <m/>
    <m/>
    <m/>
    <m/>
    <m/>
    <m/>
    <m/>
    <m/>
    <m/>
  </r>
  <r>
    <x v="97"/>
    <m/>
    <s v="0.05"/>
    <m/>
    <m/>
    <x v="2"/>
    <s v="Casa"/>
    <m/>
    <m/>
    <m/>
    <m/>
    <s v="0.05"/>
    <s v="Vivienda"/>
    <m/>
    <m/>
    <s v="Edificio"/>
    <m/>
    <m/>
    <m/>
    <m/>
    <m/>
    <m/>
    <m/>
    <m/>
    <m/>
  </r>
  <r>
    <x v="98"/>
    <m/>
    <m/>
    <m/>
    <m/>
    <x v="2"/>
    <s v="German Aguado"/>
    <m/>
    <m/>
    <m/>
    <m/>
    <m/>
    <s v="Modulo de Agricultura Vertical Indoor (FONTAGRO)"/>
    <n v="6"/>
    <n v="3"/>
    <s v="Invernaculo"/>
    <m/>
    <m/>
    <m/>
    <m/>
    <m/>
    <m/>
    <m/>
    <m/>
    <m/>
  </r>
  <r>
    <x v="99"/>
    <n v="21"/>
    <m/>
    <s v="10b"/>
    <s v="Vid"/>
    <x v="12"/>
    <m/>
    <m/>
    <m/>
    <m/>
    <n v="2022"/>
    <s v="0.51"/>
    <m/>
    <m/>
    <m/>
    <m/>
    <m/>
    <m/>
    <m/>
    <m/>
    <m/>
    <m/>
    <m/>
    <m/>
    <m/>
  </r>
  <r>
    <x v="100"/>
    <m/>
    <m/>
    <m/>
    <s v="Inculto"/>
    <x v="2"/>
    <m/>
    <m/>
    <m/>
    <m/>
    <m/>
    <s v="1.96"/>
    <m/>
    <m/>
    <m/>
    <m/>
    <m/>
    <m/>
    <m/>
    <m/>
    <m/>
    <m/>
    <m/>
    <m/>
    <m/>
  </r>
  <r>
    <x v="101"/>
    <n v="9"/>
    <m/>
    <s v="13e"/>
    <s v="Vid"/>
    <x v="3"/>
    <m/>
    <s v="Espaldero"/>
    <m/>
    <s v="18 INTA"/>
    <n v="2016"/>
    <s v="0.25"/>
    <m/>
    <m/>
    <m/>
    <s v="Cultivo"/>
    <m/>
    <m/>
    <m/>
    <n v="124.16"/>
    <n v="152.5"/>
    <n v="203.2"/>
    <n v="215"/>
    <n v="163"/>
    <n v="245"/>
  </r>
  <r>
    <x v="102"/>
    <n v="2"/>
    <m/>
    <m/>
    <s v="Vid"/>
    <x v="3"/>
    <m/>
    <s v="Espaldero"/>
    <m/>
    <s v="12 INTA"/>
    <n v="2016"/>
    <s v="0.05"/>
    <m/>
    <m/>
    <m/>
    <s v="Cultivo"/>
    <m/>
    <m/>
    <n v="174.41"/>
    <n v="151.11000000000001"/>
    <n v="249.4"/>
    <n v="244.1"/>
    <n v="209.9"/>
    <n v="269"/>
    <n v="272"/>
  </r>
  <r>
    <x v="103"/>
    <n v="5"/>
    <m/>
    <m/>
    <s v="Vid"/>
    <x v="3"/>
    <m/>
    <s v="Espaldero"/>
    <m/>
    <s v="18 INTA"/>
    <n v="2016"/>
    <s v="0.14"/>
    <m/>
    <m/>
    <m/>
    <s v="Cultivo"/>
    <m/>
    <m/>
    <n v="159.21"/>
    <n v="145.74"/>
    <n v="242.1"/>
    <n v="226.9"/>
    <n v="221.9"/>
    <n v="259"/>
    <n v="258"/>
  </r>
  <r>
    <x v="104"/>
    <n v="9"/>
    <m/>
    <m/>
    <s v="Vid"/>
    <x v="3"/>
    <m/>
    <s v="Espaldero"/>
    <m/>
    <s v="12 INTA"/>
    <n v="2016"/>
    <s v="0.24"/>
    <m/>
    <m/>
    <m/>
    <s v="Cultivo"/>
    <m/>
    <m/>
    <n v="132.63"/>
    <n v="154.4"/>
    <n v="244.2"/>
    <n v="194.4"/>
    <n v="215.3"/>
    <n v="294"/>
    <n v="283"/>
  </r>
  <r>
    <x v="105"/>
    <m/>
    <m/>
    <s v="31b"/>
    <s v="Vid"/>
    <x v="24"/>
    <m/>
    <s v="Espaldero"/>
    <s v="Superficial"/>
    <m/>
    <n v="2022"/>
    <s v="1.62"/>
    <m/>
    <m/>
    <m/>
    <s v="Cultivo"/>
    <m/>
    <m/>
    <m/>
    <m/>
    <m/>
    <m/>
    <m/>
    <m/>
    <n v="6"/>
  </r>
  <r>
    <x v="106"/>
    <m/>
    <m/>
    <s v="31c"/>
    <m/>
    <x v="2"/>
    <m/>
    <m/>
    <m/>
    <m/>
    <m/>
    <s v="0.2"/>
    <m/>
    <m/>
    <m/>
    <s v="Inculto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8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12">
  <location ref="A3:C13" firstHeaderRow="1" firstDataRow="2" firstDataCol="1" rowPageCount="1" colPageCount="1"/>
  <pivotFields count="25">
    <pivotField axis="axisPage" multipleItemSelectionAllowed="1" showAll="0">
      <items count="108">
        <item h="1" x="0"/>
        <item h="1" x="1"/>
        <item h="1" x="7"/>
        <item h="1" x="8"/>
        <item h="1" x="9"/>
        <item h="1" x="6"/>
        <item h="1" x="5"/>
        <item h="1" x="4"/>
        <item h="1" x="10"/>
        <item h="1" x="11"/>
        <item h="1" x="12"/>
        <item h="1" x="13"/>
        <item h="1" x="17"/>
        <item h="1" x="19"/>
        <item h="1" x="18"/>
        <item h="1" x="15"/>
        <item h="1" x="14"/>
        <item h="1" x="20"/>
        <item h="1" x="21"/>
        <item h="1" x="22"/>
        <item h="1" x="23"/>
        <item h="1" x="24"/>
        <item h="1" x="28"/>
        <item h="1" x="26"/>
        <item h="1" x="27"/>
        <item h="1" x="29"/>
        <item h="1" x="30"/>
        <item h="1" x="31"/>
        <item h="1" x="55"/>
        <item h="1" x="56"/>
        <item h="1" x="63"/>
        <item h="1" x="62"/>
        <item h="1" x="60"/>
        <item h="1" x="34"/>
        <item h="1" x="32"/>
        <item h="1" x="47"/>
        <item h="1" x="48"/>
        <item h="1" x="49"/>
        <item h="1" x="50"/>
        <item h="1" x="51"/>
        <item h="1" x="45"/>
        <item h="1" x="44"/>
        <item h="1" x="43"/>
        <item x="42"/>
        <item h="1" x="41"/>
        <item h="1" x="40"/>
        <item h="1" x="39"/>
        <item h="1" x="38"/>
        <item h="1" x="37"/>
        <item h="1" x="36"/>
        <item h="1" x="35"/>
        <item h="1" x="52"/>
        <item h="1" x="53"/>
        <item h="1" x="64"/>
        <item h="1" x="65"/>
        <item h="1" x="78"/>
        <item h="1" x="67"/>
        <item h="1" x="68"/>
        <item h="1" x="69"/>
        <item h="1" x="70"/>
        <item h="1" x="73"/>
        <item h="1" x="71"/>
        <item h="1" x="72"/>
        <item h="1" x="74"/>
        <item h="1" x="75"/>
        <item h="1" x="76"/>
        <item h="1" x="77"/>
        <item h="1" x="96"/>
        <item h="1" x="79"/>
        <item h="1" x="80"/>
        <item h="1" x="82"/>
        <item h="1" x="83"/>
        <item h="1" x="84"/>
        <item h="1" x="86"/>
        <item h="1" x="3"/>
        <item h="1" x="2"/>
        <item h="1" x="87"/>
        <item h="1" x="88"/>
        <item h="1" x="89"/>
        <item h="1" x="85"/>
        <item h="1" x="90"/>
        <item h="1" x="91"/>
        <item h="1" x="81"/>
        <item h="1" x="92"/>
        <item h="1" x="93"/>
        <item h="1" x="94"/>
        <item h="1" x="95"/>
        <item h="1" x="97"/>
        <item h="1" x="99"/>
        <item h="1" x="100"/>
        <item h="1" x="16"/>
        <item h="1" x="101"/>
        <item h="1" x="54"/>
        <item h="1" x="102"/>
        <item h="1" x="103"/>
        <item h="1" x="104"/>
        <item h="1" x="25"/>
        <item h="1" x="105"/>
        <item h="1" x="106"/>
        <item h="1" x="61"/>
        <item h="1" x="59"/>
        <item h="1" x="58"/>
        <item h="1" x="57"/>
        <item h="1" x="33"/>
        <item h="1" x="46"/>
        <item h="1" x="66"/>
        <item h="1" x="98"/>
        <item t="default"/>
      </items>
    </pivotField>
    <pivotField showAll="0"/>
    <pivotField showAll="0"/>
    <pivotField showAll="0"/>
    <pivotField showAll="0"/>
    <pivotField axis="axisCol" showAll="0">
      <items count="26">
        <item x="5"/>
        <item x="16"/>
        <item x="10"/>
        <item x="12"/>
        <item x="0"/>
        <item x="9"/>
        <item x="18"/>
        <item x="21"/>
        <item x="20"/>
        <item x="14"/>
        <item x="22"/>
        <item x="3"/>
        <item x="11"/>
        <item x="1"/>
        <item x="17"/>
        <item x="23"/>
        <item x="19"/>
        <item x="24"/>
        <item x="13"/>
        <item x="6"/>
        <item x="8"/>
        <item x="4"/>
        <item x="15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5"/>
  </colFields>
  <colItems count="2">
    <i>
      <x v="6"/>
    </i>
    <i t="grand">
      <x/>
    </i>
  </colItems>
  <pageFields count="1">
    <pageField fld="0" hier="-1"/>
  </pageFields>
  <dataFields count="9">
    <dataField name=" 2017" fld="16" baseField="0" baseItem="34597592"/>
    <dataField name=" 2018" fld="17" baseField="0" baseItem="34597592"/>
    <dataField name=" 2019" fld="18" baseField="0" baseItem="34597592"/>
    <dataField name=" 2020" fld="19" baseField="0" baseItem="34597592"/>
    <dataField name=" 2021" fld="20" baseField="0" baseItem="34597592"/>
    <dataField name=" 2022" fld="21" baseField="0" baseItem="34597592"/>
    <dataField name=" 2023" fld="22" baseField="0" baseItem="34597592"/>
    <dataField name=" 2024" fld="23" baseField="0" baseItem="34597592"/>
    <dataField name=" 2025" fld="24" baseField="0" baseItem="34597592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7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10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1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1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Y110" totalsRowShown="0" headerRowDxfId="29" dataDxfId="27" headerRowBorderDxfId="28" tableBorderDxfId="26" totalsRowBorderDxfId="25">
  <autoFilter ref="A1:Y110"/>
  <tableColumns count="25">
    <tableColumn id="1" name="id" dataDxfId="24"/>
    <tableColumn id="2" name="Hileras" dataDxfId="23"/>
    <tableColumn id="3" name="Superficie" dataDxfId="22"/>
    <tableColumn id="4" name="Ensayo" dataDxfId="21"/>
    <tableColumn id="5" name="Especie" dataDxfId="20"/>
    <tableColumn id="6" name="Variedad" dataDxfId="19"/>
    <tableColumn id="7" name="Responsabl" dataDxfId="18"/>
    <tableColumn id="8" name="Conduccion" dataDxfId="17"/>
    <tableColumn id="9" name="Riego" dataDxfId="16"/>
    <tableColumn id="10" name="Clon" dataDxfId="15"/>
    <tableColumn id="11" name="Plantacion" dataDxfId="14"/>
    <tableColumn id="12" name="Sup_Croqui" dataDxfId="13"/>
    <tableColumn id="13" name="Descripcio" dataDxfId="12"/>
    <tableColumn id="14" name="Largo" dataDxfId="11"/>
    <tableColumn id="15" name="Ancho" dataDxfId="10"/>
    <tableColumn id="16" name="Cobertura" dataDxfId="9"/>
    <tableColumn id="17" name="2017" dataDxfId="8"/>
    <tableColumn id="18" name="2018" dataDxfId="7"/>
    <tableColumn id="19" name="2019" dataDxfId="6"/>
    <tableColumn id="20" name="2020" dataDxfId="5"/>
    <tableColumn id="21" name="2021" dataDxfId="4"/>
    <tableColumn id="22" name="2022" dataDxfId="3"/>
    <tableColumn id="23" name="2023" dataDxfId="2"/>
    <tableColumn id="24" name="2024" dataDxfId="1"/>
    <tableColumn id="25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1"/>
  <sheetViews>
    <sheetView topLeftCell="D42" workbookViewId="0">
      <selection activeCell="Y45" sqref="Y45"/>
    </sheetView>
  </sheetViews>
  <sheetFormatPr baseColWidth="10" defaultRowHeight="15" x14ac:dyDescent="0.25"/>
  <cols>
    <col min="3" max="3" width="12.140625" customWidth="1"/>
    <col min="7" max="7" width="13.28515625" customWidth="1"/>
    <col min="8" max="8" width="13.42578125" customWidth="1"/>
    <col min="11" max="11" width="12.42578125" customWidth="1"/>
    <col min="12" max="12" width="13.28515625" customWidth="1"/>
    <col min="13" max="13" width="12.28515625" customWidth="1"/>
    <col min="16" max="16" width="12" customWidth="1"/>
  </cols>
  <sheetData>
    <row r="1" spans="1:3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228</v>
      </c>
      <c r="R1" s="7" t="s">
        <v>229</v>
      </c>
      <c r="S1" s="7" t="s">
        <v>230</v>
      </c>
      <c r="T1" s="7" t="s">
        <v>231</v>
      </c>
      <c r="U1" s="7" t="s">
        <v>232</v>
      </c>
      <c r="V1" s="7" t="s">
        <v>233</v>
      </c>
      <c r="W1" s="7" t="s">
        <v>234</v>
      </c>
      <c r="X1" s="7" t="s">
        <v>235</v>
      </c>
      <c r="Y1" s="8" t="s">
        <v>236</v>
      </c>
      <c r="Z1" s="3">
        <f>SUBTOTAL(109,Q2:Y110)/SUBTOTAL(103,Q2:Y110)</f>
        <v>138.84261390887286</v>
      </c>
      <c r="AA1" t="s">
        <v>226</v>
      </c>
      <c r="AB1" t="str">
        <f>F2</f>
        <v>Cabernet Sauvignon</v>
      </c>
      <c r="AC1" t="s">
        <v>227</v>
      </c>
      <c r="AD1">
        <f>A2</f>
        <v>1</v>
      </c>
      <c r="AE1" t="str">
        <f>CONCATENATE(AA1,AC1,AD1,AB1)</f>
        <v>Producción en qq - Parcela Nº 1Cabernet Sauvignon</v>
      </c>
    </row>
    <row r="2" spans="1:31" ht="30" x14ac:dyDescent="0.25">
      <c r="A2" s="4">
        <v>1</v>
      </c>
      <c r="B2" s="1">
        <v>46</v>
      </c>
      <c r="C2" s="1" t="s">
        <v>16</v>
      </c>
      <c r="D2" s="1">
        <v>1</v>
      </c>
      <c r="E2" s="1" t="s">
        <v>17</v>
      </c>
      <c r="F2" s="1" t="s">
        <v>18</v>
      </c>
      <c r="G2" s="1"/>
      <c r="H2" s="1" t="s">
        <v>19</v>
      </c>
      <c r="I2" s="1" t="s">
        <v>20</v>
      </c>
      <c r="J2" s="1"/>
      <c r="K2" s="1">
        <v>1991</v>
      </c>
      <c r="L2" s="1" t="s">
        <v>21</v>
      </c>
      <c r="M2" s="1"/>
      <c r="N2" s="1"/>
      <c r="O2" s="1"/>
      <c r="P2" s="1" t="s">
        <v>22</v>
      </c>
      <c r="Q2" s="2">
        <v>78.38</v>
      </c>
      <c r="R2" s="2">
        <v>102.23</v>
      </c>
      <c r="S2" s="2">
        <v>102.23</v>
      </c>
      <c r="T2" s="2">
        <v>105.77</v>
      </c>
      <c r="U2" s="2">
        <v>127.2</v>
      </c>
      <c r="V2" s="2">
        <v>87.7</v>
      </c>
      <c r="W2" s="2">
        <v>86.6</v>
      </c>
      <c r="X2" s="2">
        <v>138</v>
      </c>
      <c r="Y2" s="5">
        <v>113</v>
      </c>
    </row>
    <row r="3" spans="1:31" x14ac:dyDescent="0.25">
      <c r="A3" s="4">
        <v>2</v>
      </c>
      <c r="B3" s="1"/>
      <c r="C3" s="1" t="s">
        <v>23</v>
      </c>
      <c r="D3" s="1">
        <v>2</v>
      </c>
      <c r="E3" s="1" t="s">
        <v>24</v>
      </c>
      <c r="F3" s="1" t="s">
        <v>25</v>
      </c>
      <c r="G3" s="1"/>
      <c r="H3" s="1"/>
      <c r="I3" s="1" t="s">
        <v>20</v>
      </c>
      <c r="J3" s="1"/>
      <c r="K3" s="1"/>
      <c r="L3" s="1" t="s">
        <v>23</v>
      </c>
      <c r="M3" s="1"/>
      <c r="N3" s="1"/>
      <c r="O3" s="1"/>
      <c r="P3" s="1" t="s">
        <v>22</v>
      </c>
      <c r="Q3" s="2"/>
      <c r="R3" s="2"/>
      <c r="S3" s="2"/>
      <c r="T3" s="2"/>
      <c r="U3" s="2"/>
      <c r="V3" s="2"/>
      <c r="W3" s="2"/>
      <c r="X3" s="2"/>
      <c r="Y3" s="5"/>
    </row>
    <row r="4" spans="1:31" x14ac:dyDescent="0.25">
      <c r="A4" s="4">
        <v>82</v>
      </c>
      <c r="B4" s="1">
        <v>9</v>
      </c>
      <c r="C4" s="1" t="s">
        <v>26</v>
      </c>
      <c r="D4" s="1" t="s">
        <v>27</v>
      </c>
      <c r="E4" s="1" t="s">
        <v>28</v>
      </c>
      <c r="F4" s="1"/>
      <c r="G4" s="1"/>
      <c r="H4" s="1"/>
      <c r="I4" s="1" t="s">
        <v>29</v>
      </c>
      <c r="J4" s="1"/>
      <c r="K4" s="1">
        <v>2013</v>
      </c>
      <c r="L4" s="1" t="s">
        <v>26</v>
      </c>
      <c r="M4" s="1"/>
      <c r="N4" s="1"/>
      <c r="O4" s="1"/>
      <c r="P4" s="1" t="s">
        <v>22</v>
      </c>
      <c r="Q4" s="2"/>
      <c r="R4" s="2"/>
      <c r="S4" s="2"/>
      <c r="T4" s="2"/>
      <c r="U4" s="2"/>
      <c r="V4" s="2"/>
      <c r="W4" s="2"/>
      <c r="X4" s="2"/>
      <c r="Y4" s="5"/>
    </row>
    <row r="5" spans="1:31" x14ac:dyDescent="0.25">
      <c r="A5" s="4">
        <v>81</v>
      </c>
      <c r="B5" s="1">
        <v>25</v>
      </c>
      <c r="C5" s="1" t="s">
        <v>30</v>
      </c>
      <c r="D5" s="1" t="s">
        <v>31</v>
      </c>
      <c r="E5" s="1" t="s">
        <v>28</v>
      </c>
      <c r="F5" s="1"/>
      <c r="G5" s="1"/>
      <c r="H5" s="1"/>
      <c r="I5" s="1" t="s">
        <v>29</v>
      </c>
      <c r="J5" s="1"/>
      <c r="K5" s="1">
        <v>2004</v>
      </c>
      <c r="L5" s="1" t="s">
        <v>30</v>
      </c>
      <c r="M5" s="1"/>
      <c r="N5" s="1"/>
      <c r="O5" s="1"/>
      <c r="P5" s="1" t="s">
        <v>22</v>
      </c>
      <c r="Q5" s="2"/>
      <c r="R5" s="2"/>
      <c r="S5" s="2"/>
      <c r="T5" s="2"/>
      <c r="U5" s="2"/>
      <c r="V5" s="2"/>
      <c r="W5" s="2"/>
      <c r="X5" s="2"/>
      <c r="Y5" s="5"/>
    </row>
    <row r="6" spans="1:31" x14ac:dyDescent="0.25">
      <c r="A6" s="4">
        <v>8</v>
      </c>
      <c r="B6" s="1">
        <v>11</v>
      </c>
      <c r="C6" s="1" t="s">
        <v>32</v>
      </c>
      <c r="D6" s="1">
        <v>8</v>
      </c>
      <c r="E6" s="1" t="s">
        <v>28</v>
      </c>
      <c r="F6" s="1"/>
      <c r="G6" s="1"/>
      <c r="H6" s="1"/>
      <c r="I6" s="1" t="s">
        <v>29</v>
      </c>
      <c r="J6" s="1"/>
      <c r="K6" s="1">
        <v>2014</v>
      </c>
      <c r="L6" s="1" t="s">
        <v>32</v>
      </c>
      <c r="M6" s="1"/>
      <c r="N6" s="1"/>
      <c r="O6" s="1"/>
      <c r="P6" s="1" t="s">
        <v>22</v>
      </c>
      <c r="Q6" s="2"/>
      <c r="R6" s="2"/>
      <c r="S6" s="2"/>
      <c r="T6" s="2"/>
      <c r="U6" s="2"/>
      <c r="V6" s="2"/>
      <c r="W6" s="2"/>
      <c r="X6" s="2"/>
      <c r="Y6" s="5"/>
    </row>
    <row r="7" spans="1:31" ht="30" x14ac:dyDescent="0.25">
      <c r="A7" s="4">
        <v>7</v>
      </c>
      <c r="B7" s="1">
        <v>35</v>
      </c>
      <c r="C7" s="1" t="s">
        <v>33</v>
      </c>
      <c r="D7" s="1">
        <v>7</v>
      </c>
      <c r="E7" s="1" t="s">
        <v>17</v>
      </c>
      <c r="F7" s="1" t="s">
        <v>18</v>
      </c>
      <c r="G7" s="1"/>
      <c r="H7" s="1" t="s">
        <v>19</v>
      </c>
      <c r="I7" s="1" t="s">
        <v>20</v>
      </c>
      <c r="J7" s="1"/>
      <c r="K7" s="1"/>
      <c r="L7" s="1" t="s">
        <v>33</v>
      </c>
      <c r="M7" s="1"/>
      <c r="N7" s="1"/>
      <c r="O7" s="1"/>
      <c r="P7" s="1" t="s">
        <v>22</v>
      </c>
      <c r="Q7" s="2">
        <v>55.62</v>
      </c>
      <c r="R7" s="2">
        <v>70.650000000000006</v>
      </c>
      <c r="S7" s="2">
        <v>83.83</v>
      </c>
      <c r="T7" s="2">
        <v>68.760000000000005</v>
      </c>
      <c r="U7" s="2">
        <v>69.599999999999994</v>
      </c>
      <c r="V7" s="2">
        <v>64.8</v>
      </c>
      <c r="W7" s="2">
        <v>64.3</v>
      </c>
      <c r="X7" s="2">
        <v>69</v>
      </c>
      <c r="Y7" s="5">
        <v>42</v>
      </c>
    </row>
    <row r="8" spans="1:31" x14ac:dyDescent="0.25">
      <c r="A8" s="4">
        <v>6</v>
      </c>
      <c r="B8" s="1">
        <v>7</v>
      </c>
      <c r="C8" s="1" t="s">
        <v>34</v>
      </c>
      <c r="D8" s="1">
        <v>6</v>
      </c>
      <c r="E8" s="1" t="s">
        <v>17</v>
      </c>
      <c r="F8" s="1" t="s">
        <v>35</v>
      </c>
      <c r="G8" s="1"/>
      <c r="H8" s="1" t="s">
        <v>19</v>
      </c>
      <c r="I8" s="1" t="s">
        <v>29</v>
      </c>
      <c r="J8" s="1"/>
      <c r="K8" s="1">
        <v>2002</v>
      </c>
      <c r="L8" s="1" t="s">
        <v>36</v>
      </c>
      <c r="M8" s="1"/>
      <c r="N8" s="1"/>
      <c r="O8" s="1"/>
      <c r="P8" s="1" t="s">
        <v>22</v>
      </c>
      <c r="Q8" s="2">
        <v>147</v>
      </c>
      <c r="R8" s="2">
        <v>196.71</v>
      </c>
      <c r="S8" s="2">
        <v>198.82</v>
      </c>
      <c r="T8" s="2">
        <v>225.58</v>
      </c>
      <c r="U8" s="2">
        <v>204.8</v>
      </c>
      <c r="V8" s="2">
        <v>211.8</v>
      </c>
      <c r="W8" s="2">
        <v>216.1</v>
      </c>
      <c r="X8" s="2">
        <v>169</v>
      </c>
      <c r="Y8" s="5">
        <v>163</v>
      </c>
    </row>
    <row r="9" spans="1:31" ht="30" x14ac:dyDescent="0.25">
      <c r="A9" s="4">
        <v>3</v>
      </c>
      <c r="B9" s="1">
        <v>14</v>
      </c>
      <c r="C9" s="1" t="s">
        <v>37</v>
      </c>
      <c r="D9" s="1">
        <v>3</v>
      </c>
      <c r="E9" s="1" t="s">
        <v>17</v>
      </c>
      <c r="F9" s="1" t="s">
        <v>38</v>
      </c>
      <c r="G9" s="1" t="s">
        <v>39</v>
      </c>
      <c r="H9" s="1" t="s">
        <v>19</v>
      </c>
      <c r="I9" s="1" t="s">
        <v>29</v>
      </c>
      <c r="J9" s="1"/>
      <c r="K9" s="1">
        <v>2010</v>
      </c>
      <c r="L9" s="1" t="s">
        <v>40</v>
      </c>
      <c r="M9" s="1"/>
      <c r="N9" s="1"/>
      <c r="O9" s="1"/>
      <c r="P9" s="1" t="s">
        <v>22</v>
      </c>
      <c r="Q9" s="2">
        <v>287.67</v>
      </c>
      <c r="R9" s="2">
        <v>266.17</v>
      </c>
      <c r="S9" s="2">
        <v>474.41</v>
      </c>
      <c r="T9" s="2">
        <v>236.45</v>
      </c>
      <c r="U9" s="2">
        <v>392.2</v>
      </c>
      <c r="V9" s="2">
        <v>314.39999999999998</v>
      </c>
      <c r="W9" s="2">
        <v>406.8</v>
      </c>
      <c r="X9" s="2">
        <v>393</v>
      </c>
      <c r="Y9" s="5">
        <v>280</v>
      </c>
    </row>
    <row r="10" spans="1:31" ht="30" x14ac:dyDescent="0.25">
      <c r="A10" s="4">
        <v>4</v>
      </c>
      <c r="B10" s="1">
        <v>5</v>
      </c>
      <c r="C10" s="1" t="s">
        <v>41</v>
      </c>
      <c r="D10" s="1">
        <v>4</v>
      </c>
      <c r="E10" s="1" t="s">
        <v>17</v>
      </c>
      <c r="F10" s="1" t="s">
        <v>42</v>
      </c>
      <c r="G10" s="1" t="s">
        <v>43</v>
      </c>
      <c r="H10" s="1" t="s">
        <v>19</v>
      </c>
      <c r="I10" s="1" t="s">
        <v>29</v>
      </c>
      <c r="J10" s="1"/>
      <c r="K10" s="1">
        <v>1997</v>
      </c>
      <c r="L10" s="1" t="s">
        <v>44</v>
      </c>
      <c r="M10" s="1"/>
      <c r="N10" s="1"/>
      <c r="O10" s="1"/>
      <c r="P10" s="1" t="s">
        <v>22</v>
      </c>
      <c r="Q10" s="2"/>
      <c r="R10" s="2"/>
      <c r="S10" s="2"/>
      <c r="T10" s="2"/>
      <c r="U10" s="2"/>
      <c r="V10" s="2"/>
      <c r="W10" s="2"/>
      <c r="X10" s="2"/>
      <c r="Y10" s="5"/>
    </row>
    <row r="11" spans="1:31" x14ac:dyDescent="0.25">
      <c r="A11" s="4">
        <v>5</v>
      </c>
      <c r="B11" s="1">
        <v>40</v>
      </c>
      <c r="C11" s="1" t="s">
        <v>45</v>
      </c>
      <c r="D11" s="1">
        <v>5</v>
      </c>
      <c r="E11" s="1" t="s">
        <v>17</v>
      </c>
      <c r="F11" s="1" t="s">
        <v>46</v>
      </c>
      <c r="G11" s="1"/>
      <c r="H11" s="1" t="s">
        <v>19</v>
      </c>
      <c r="I11" s="1" t="s">
        <v>29</v>
      </c>
      <c r="J11" s="1"/>
      <c r="K11" s="1">
        <v>1997</v>
      </c>
      <c r="L11" s="1" t="s">
        <v>47</v>
      </c>
      <c r="M11" s="1"/>
      <c r="N11" s="1"/>
      <c r="O11" s="1"/>
      <c r="P11" s="1" t="s">
        <v>22</v>
      </c>
      <c r="Q11" s="2">
        <v>135.87</v>
      </c>
      <c r="R11" s="2">
        <v>155.85</v>
      </c>
      <c r="S11" s="2">
        <v>215.18</v>
      </c>
      <c r="T11" s="2">
        <v>180.57</v>
      </c>
      <c r="U11" s="2">
        <v>123.7</v>
      </c>
      <c r="V11" s="2">
        <v>116</v>
      </c>
      <c r="W11" s="2">
        <v>132.1</v>
      </c>
      <c r="X11" s="2">
        <v>143</v>
      </c>
      <c r="Y11" s="5">
        <v>73</v>
      </c>
    </row>
    <row r="12" spans="1:31" x14ac:dyDescent="0.25">
      <c r="A12" s="4">
        <v>9</v>
      </c>
      <c r="B12" s="1">
        <v>80</v>
      </c>
      <c r="C12" s="1" t="s">
        <v>48</v>
      </c>
      <c r="D12" s="1">
        <v>9</v>
      </c>
      <c r="E12" s="1" t="s">
        <v>17</v>
      </c>
      <c r="F12" s="1" t="s">
        <v>35</v>
      </c>
      <c r="G12" s="1"/>
      <c r="H12" s="1" t="s">
        <v>19</v>
      </c>
      <c r="I12" s="1" t="s">
        <v>20</v>
      </c>
      <c r="J12" s="1" t="s">
        <v>49</v>
      </c>
      <c r="K12" s="1">
        <v>2019</v>
      </c>
      <c r="L12" s="1" t="s">
        <v>50</v>
      </c>
      <c r="M12" s="1"/>
      <c r="N12" s="1"/>
      <c r="O12" s="1"/>
      <c r="P12" s="1" t="s">
        <v>22</v>
      </c>
      <c r="Q12" s="2"/>
      <c r="R12" s="2"/>
      <c r="S12" s="2"/>
      <c r="T12" s="2"/>
      <c r="U12" s="2"/>
      <c r="V12" s="2">
        <v>13.6</v>
      </c>
      <c r="W12" s="2">
        <v>24.1</v>
      </c>
      <c r="X12" s="2">
        <v>68</v>
      </c>
      <c r="Y12" s="5">
        <v>92</v>
      </c>
    </row>
    <row r="13" spans="1:31" x14ac:dyDescent="0.25">
      <c r="A13" s="4">
        <v>10</v>
      </c>
      <c r="B13" s="1">
        <v>10</v>
      </c>
      <c r="C13" s="1" t="s">
        <v>51</v>
      </c>
      <c r="D13" s="1" t="s">
        <v>52</v>
      </c>
      <c r="E13" s="1" t="s">
        <v>17</v>
      </c>
      <c r="F13" s="1" t="s">
        <v>53</v>
      </c>
      <c r="G13" s="1"/>
      <c r="H13" s="1"/>
      <c r="I13" s="1" t="s">
        <v>20</v>
      </c>
      <c r="J13" s="1"/>
      <c r="K13" s="1">
        <v>2022</v>
      </c>
      <c r="L13" s="1" t="s">
        <v>54</v>
      </c>
      <c r="M13" s="1"/>
      <c r="N13" s="1"/>
      <c r="O13" s="1"/>
      <c r="P13" s="1" t="s">
        <v>22</v>
      </c>
      <c r="Q13" s="2"/>
      <c r="R13" s="2"/>
      <c r="S13" s="2"/>
      <c r="T13" s="2"/>
      <c r="U13" s="2"/>
      <c r="V13" s="2"/>
      <c r="W13" s="2"/>
      <c r="X13" s="2"/>
      <c r="Y13" s="5">
        <v>25</v>
      </c>
    </row>
    <row r="14" spans="1:31" x14ac:dyDescent="0.25">
      <c r="A14" s="4">
        <v>11</v>
      </c>
      <c r="B14" s="1"/>
      <c r="C14" s="1" t="s">
        <v>55</v>
      </c>
      <c r="D14" s="1">
        <v>11</v>
      </c>
      <c r="E14" s="1" t="s">
        <v>56</v>
      </c>
      <c r="F14" s="1"/>
      <c r="G14" s="1"/>
      <c r="H14" s="1"/>
      <c r="I14" s="1"/>
      <c r="J14" s="1"/>
      <c r="K14" s="1"/>
      <c r="L14" s="1" t="s">
        <v>57</v>
      </c>
      <c r="M14" s="1"/>
      <c r="N14" s="1"/>
      <c r="O14" s="1"/>
      <c r="P14" s="1" t="s">
        <v>22</v>
      </c>
      <c r="Q14" s="2"/>
      <c r="R14" s="2"/>
      <c r="S14" s="2"/>
      <c r="T14" s="2"/>
      <c r="U14" s="2"/>
      <c r="V14" s="2"/>
      <c r="W14" s="2"/>
      <c r="X14" s="2"/>
      <c r="Y14" s="5"/>
    </row>
    <row r="15" spans="1:31" x14ac:dyDescent="0.25">
      <c r="A15" s="4">
        <v>12</v>
      </c>
      <c r="B15" s="1">
        <v>201</v>
      </c>
      <c r="C15" s="1" t="s">
        <v>58</v>
      </c>
      <c r="D15" s="1">
        <v>12</v>
      </c>
      <c r="E15" s="1" t="s">
        <v>17</v>
      </c>
      <c r="F15" s="1" t="s">
        <v>35</v>
      </c>
      <c r="G15" s="1" t="s">
        <v>59</v>
      </c>
      <c r="H15" s="1" t="s">
        <v>19</v>
      </c>
      <c r="I15" s="1" t="s">
        <v>29</v>
      </c>
      <c r="J15" s="1" t="s">
        <v>49</v>
      </c>
      <c r="K15" s="1">
        <v>2011</v>
      </c>
      <c r="L15" s="1" t="s">
        <v>48</v>
      </c>
      <c r="M15" s="1"/>
      <c r="N15" s="1"/>
      <c r="O15" s="1"/>
      <c r="P15" s="1" t="s">
        <v>22</v>
      </c>
      <c r="Q15" s="2">
        <v>130.59</v>
      </c>
      <c r="R15" s="2">
        <v>110.61</v>
      </c>
      <c r="S15" s="2">
        <v>164.27</v>
      </c>
      <c r="T15" s="2">
        <v>120.08</v>
      </c>
      <c r="U15" s="2">
        <v>114.1</v>
      </c>
      <c r="V15" s="2">
        <v>115</v>
      </c>
      <c r="W15" s="2">
        <v>81.900000000000006</v>
      </c>
      <c r="X15" s="2">
        <v>71</v>
      </c>
      <c r="Y15" s="5">
        <v>108</v>
      </c>
    </row>
    <row r="16" spans="1:31" x14ac:dyDescent="0.25">
      <c r="A16" s="4">
        <v>19</v>
      </c>
      <c r="B16" s="1">
        <v>56</v>
      </c>
      <c r="C16" s="1" t="s">
        <v>60</v>
      </c>
      <c r="D16" s="1">
        <v>19</v>
      </c>
      <c r="E16" s="1" t="s">
        <v>61</v>
      </c>
      <c r="F16" s="1"/>
      <c r="G16" s="1" t="s">
        <v>62</v>
      </c>
      <c r="H16" s="1"/>
      <c r="I16" s="1" t="s">
        <v>29</v>
      </c>
      <c r="J16" s="1"/>
      <c r="K16" s="1"/>
      <c r="L16" s="1" t="s">
        <v>60</v>
      </c>
      <c r="M16" s="1"/>
      <c r="N16" s="1"/>
      <c r="O16" s="1"/>
      <c r="P16" s="1" t="s">
        <v>22</v>
      </c>
      <c r="Q16" s="2"/>
      <c r="R16" s="2"/>
      <c r="S16" s="2"/>
      <c r="T16" s="2"/>
      <c r="U16" s="2"/>
      <c r="V16" s="2"/>
      <c r="W16" s="2"/>
      <c r="X16" s="2"/>
      <c r="Y16" s="5"/>
    </row>
    <row r="17" spans="1:25" ht="45" x14ac:dyDescent="0.25">
      <c r="A17" s="4">
        <v>18</v>
      </c>
      <c r="B17" s="1">
        <v>56</v>
      </c>
      <c r="C17" s="1" t="s">
        <v>63</v>
      </c>
      <c r="D17" s="1">
        <v>18</v>
      </c>
      <c r="E17" s="1" t="s">
        <v>17</v>
      </c>
      <c r="F17" s="1" t="s">
        <v>35</v>
      </c>
      <c r="G17" s="1" t="s">
        <v>64</v>
      </c>
      <c r="H17" s="1" t="s">
        <v>19</v>
      </c>
      <c r="I17" s="1" t="s">
        <v>29</v>
      </c>
      <c r="J17" s="1" t="s">
        <v>49</v>
      </c>
      <c r="K17" s="1">
        <v>2017</v>
      </c>
      <c r="L17" s="1" t="s">
        <v>65</v>
      </c>
      <c r="M17" s="1"/>
      <c r="N17" s="1"/>
      <c r="O17" s="1"/>
      <c r="P17" s="1" t="s">
        <v>22</v>
      </c>
      <c r="Q17" s="2"/>
      <c r="R17" s="2"/>
      <c r="S17" s="2"/>
      <c r="T17" s="2">
        <v>55.61</v>
      </c>
      <c r="U17" s="2">
        <v>161.9</v>
      </c>
      <c r="V17" s="2">
        <v>153.6</v>
      </c>
      <c r="W17" s="2">
        <v>208.4</v>
      </c>
      <c r="X17" s="2">
        <v>221</v>
      </c>
      <c r="Y17" s="5">
        <v>192</v>
      </c>
    </row>
    <row r="18" spans="1:25" x14ac:dyDescent="0.25">
      <c r="A18" s="4">
        <v>131</v>
      </c>
      <c r="B18" s="1">
        <v>8</v>
      </c>
      <c r="C18" s="1" t="s">
        <v>66</v>
      </c>
      <c r="D18" s="1" t="s">
        <v>67</v>
      </c>
      <c r="E18" s="1" t="s">
        <v>17</v>
      </c>
      <c r="F18" s="1" t="s">
        <v>35</v>
      </c>
      <c r="G18" s="1"/>
      <c r="H18" s="1" t="s">
        <v>19</v>
      </c>
      <c r="I18" s="1" t="s">
        <v>29</v>
      </c>
      <c r="J18" s="1" t="s">
        <v>49</v>
      </c>
      <c r="K18" s="1">
        <v>2011</v>
      </c>
      <c r="L18" s="1" t="s">
        <v>68</v>
      </c>
      <c r="M18" s="1"/>
      <c r="N18" s="1"/>
      <c r="O18" s="1"/>
      <c r="P18" s="1" t="s">
        <v>22</v>
      </c>
      <c r="Q18" s="2"/>
      <c r="R18" s="2"/>
      <c r="S18" s="2"/>
      <c r="T18" s="2">
        <v>154.51</v>
      </c>
      <c r="U18" s="2">
        <v>158.19999999999999</v>
      </c>
      <c r="V18" s="2">
        <v>234.6</v>
      </c>
      <c r="W18" s="2">
        <v>243.8</v>
      </c>
      <c r="X18" s="2">
        <v>196</v>
      </c>
      <c r="Y18" s="5">
        <v>285</v>
      </c>
    </row>
    <row r="19" spans="1:25" x14ac:dyDescent="0.25">
      <c r="A19" s="4">
        <v>14</v>
      </c>
      <c r="B19" s="1">
        <v>49</v>
      </c>
      <c r="C19" s="1" t="s">
        <v>69</v>
      </c>
      <c r="D19" s="1">
        <v>14</v>
      </c>
      <c r="E19" s="1" t="s">
        <v>17</v>
      </c>
      <c r="F19" s="1" t="s">
        <v>35</v>
      </c>
      <c r="G19" s="1" t="s">
        <v>70</v>
      </c>
      <c r="H19" s="1" t="s">
        <v>19</v>
      </c>
      <c r="I19" s="1" t="s">
        <v>29</v>
      </c>
      <c r="J19" s="1"/>
      <c r="K19" s="1">
        <v>2011</v>
      </c>
      <c r="L19" s="1" t="s">
        <v>71</v>
      </c>
      <c r="M19" s="1"/>
      <c r="N19" s="1"/>
      <c r="O19" s="1"/>
      <c r="P19" s="1" t="s">
        <v>22</v>
      </c>
      <c r="Q19" s="2">
        <v>174.25</v>
      </c>
      <c r="R19" s="2">
        <v>187.73</v>
      </c>
      <c r="S19" s="2">
        <v>253.75</v>
      </c>
      <c r="T19" s="2">
        <v>205.04</v>
      </c>
      <c r="U19" s="2">
        <v>230.8</v>
      </c>
      <c r="V19" s="2">
        <v>214</v>
      </c>
      <c r="W19" s="2">
        <v>166.2</v>
      </c>
      <c r="X19" s="2">
        <v>171</v>
      </c>
      <c r="Y19" s="5">
        <v>177</v>
      </c>
    </row>
    <row r="20" spans="1:25" ht="45" x14ac:dyDescent="0.25">
      <c r="A20" s="4">
        <v>16</v>
      </c>
      <c r="B20" s="1">
        <v>31</v>
      </c>
      <c r="C20" s="1" t="s">
        <v>72</v>
      </c>
      <c r="D20" s="1">
        <v>16</v>
      </c>
      <c r="E20" s="1" t="s">
        <v>17</v>
      </c>
      <c r="F20" s="1" t="s">
        <v>73</v>
      </c>
      <c r="G20" s="1" t="s">
        <v>64</v>
      </c>
      <c r="H20" s="1" t="s">
        <v>19</v>
      </c>
      <c r="I20" s="1" t="s">
        <v>29</v>
      </c>
      <c r="J20" s="1"/>
      <c r="K20" s="1">
        <v>2013</v>
      </c>
      <c r="L20" s="1" t="s">
        <v>74</v>
      </c>
      <c r="M20" s="1"/>
      <c r="N20" s="1"/>
      <c r="O20" s="1"/>
      <c r="P20" s="1" t="s">
        <v>22</v>
      </c>
      <c r="Q20" s="2">
        <v>271.89</v>
      </c>
      <c r="R20" s="2">
        <v>344.8</v>
      </c>
      <c r="S20" s="2">
        <v>376.29</v>
      </c>
      <c r="T20" s="2">
        <v>236.73</v>
      </c>
      <c r="U20" s="2">
        <v>266.8</v>
      </c>
      <c r="V20" s="2">
        <v>313.39999999999998</v>
      </c>
      <c r="W20" s="2">
        <v>234.5</v>
      </c>
      <c r="X20" s="2">
        <v>277</v>
      </c>
      <c r="Y20" s="5">
        <v>300</v>
      </c>
    </row>
    <row r="21" spans="1:25" ht="30" x14ac:dyDescent="0.25">
      <c r="A21" s="4">
        <v>15</v>
      </c>
      <c r="B21" s="1">
        <v>57</v>
      </c>
      <c r="C21" s="1" t="s">
        <v>75</v>
      </c>
      <c r="D21" s="1">
        <v>15</v>
      </c>
      <c r="E21" s="1" t="s">
        <v>17</v>
      </c>
      <c r="F21" s="1" t="s">
        <v>35</v>
      </c>
      <c r="G21" s="1" t="s">
        <v>76</v>
      </c>
      <c r="H21" s="1" t="s">
        <v>19</v>
      </c>
      <c r="I21" s="1" t="s">
        <v>29</v>
      </c>
      <c r="J21" s="1"/>
      <c r="K21" s="1">
        <v>2012</v>
      </c>
      <c r="L21" s="1" t="s">
        <v>77</v>
      </c>
      <c r="M21" s="1"/>
      <c r="N21" s="1"/>
      <c r="O21" s="1"/>
      <c r="P21" s="1" t="s">
        <v>22</v>
      </c>
      <c r="Q21" s="2">
        <v>191.35</v>
      </c>
      <c r="R21" s="2">
        <v>285.25</v>
      </c>
      <c r="S21" s="2">
        <v>194.52</v>
      </c>
      <c r="T21" s="2">
        <v>147.93</v>
      </c>
      <c r="U21" s="2">
        <v>222.2</v>
      </c>
      <c r="V21" s="2">
        <v>188.3</v>
      </c>
      <c r="W21" s="2">
        <v>174</v>
      </c>
      <c r="X21" s="2">
        <v>208</v>
      </c>
      <c r="Y21" s="5">
        <v>230</v>
      </c>
    </row>
    <row r="22" spans="1:25" ht="30" x14ac:dyDescent="0.25">
      <c r="A22" s="4">
        <v>20</v>
      </c>
      <c r="B22" s="1">
        <v>9</v>
      </c>
      <c r="C22" s="1" t="s">
        <v>78</v>
      </c>
      <c r="D22" s="1">
        <v>20</v>
      </c>
      <c r="E22" s="1" t="s">
        <v>17</v>
      </c>
      <c r="F22" s="1" t="s">
        <v>79</v>
      </c>
      <c r="G22" s="1"/>
      <c r="H22" s="1" t="s">
        <v>19</v>
      </c>
      <c r="I22" s="1" t="s">
        <v>20</v>
      </c>
      <c r="J22" s="1"/>
      <c r="K22" s="1">
        <v>1996</v>
      </c>
      <c r="L22" s="1" t="s">
        <v>54</v>
      </c>
      <c r="M22" s="1"/>
      <c r="N22" s="1"/>
      <c r="O22" s="1"/>
      <c r="P22" s="1" t="s">
        <v>22</v>
      </c>
      <c r="Q22" s="2">
        <v>39.11</v>
      </c>
      <c r="R22" s="2">
        <v>48.32</v>
      </c>
      <c r="S22" s="2">
        <v>65.94</v>
      </c>
      <c r="T22" s="2">
        <v>20.100000000000001</v>
      </c>
      <c r="U22" s="2">
        <v>53.8</v>
      </c>
      <c r="V22" s="2">
        <v>11.9</v>
      </c>
      <c r="W22" s="2">
        <v>12.1</v>
      </c>
      <c r="X22" s="2">
        <v>21</v>
      </c>
      <c r="Y22" s="5">
        <v>17</v>
      </c>
    </row>
    <row r="23" spans="1:25" ht="30" x14ac:dyDescent="0.25">
      <c r="A23" s="4">
        <v>21</v>
      </c>
      <c r="B23" s="1">
        <v>13</v>
      </c>
      <c r="C23" s="1" t="s">
        <v>80</v>
      </c>
      <c r="D23" s="1">
        <v>21</v>
      </c>
      <c r="E23" s="1" t="s">
        <v>17</v>
      </c>
      <c r="F23" s="1" t="s">
        <v>18</v>
      </c>
      <c r="G23" s="1"/>
      <c r="H23" s="1" t="s">
        <v>19</v>
      </c>
      <c r="I23" s="1" t="s">
        <v>20</v>
      </c>
      <c r="J23" s="1"/>
      <c r="K23" s="1">
        <v>1996</v>
      </c>
      <c r="L23" s="1" t="s">
        <v>81</v>
      </c>
      <c r="M23" s="1"/>
      <c r="N23" s="1"/>
      <c r="O23" s="1"/>
      <c r="P23" s="1" t="s">
        <v>22</v>
      </c>
      <c r="Q23" s="2">
        <v>141.83000000000001</v>
      </c>
      <c r="R23" s="2">
        <v>137.30000000000001</v>
      </c>
      <c r="S23" s="2">
        <v>181.3</v>
      </c>
      <c r="T23" s="2">
        <v>197.5</v>
      </c>
      <c r="U23" s="2">
        <v>218.5</v>
      </c>
      <c r="V23" s="2">
        <v>158.5</v>
      </c>
      <c r="W23" s="2">
        <v>100.4</v>
      </c>
      <c r="X23" s="2">
        <v>187</v>
      </c>
      <c r="Y23" s="5">
        <v>179</v>
      </c>
    </row>
    <row r="24" spans="1:25" ht="30" x14ac:dyDescent="0.25">
      <c r="A24" s="4">
        <v>22</v>
      </c>
      <c r="B24" s="1">
        <v>16</v>
      </c>
      <c r="C24" s="1" t="s">
        <v>82</v>
      </c>
      <c r="D24" s="1">
        <v>22</v>
      </c>
      <c r="E24" s="1" t="s">
        <v>17</v>
      </c>
      <c r="F24" s="1" t="s">
        <v>18</v>
      </c>
      <c r="G24" s="1"/>
      <c r="H24" s="1" t="s">
        <v>19</v>
      </c>
      <c r="I24" s="1" t="s">
        <v>20</v>
      </c>
      <c r="J24" s="1"/>
      <c r="K24" s="1">
        <v>1996</v>
      </c>
      <c r="L24" s="1" t="s">
        <v>83</v>
      </c>
      <c r="M24" s="1"/>
      <c r="N24" s="1"/>
      <c r="O24" s="1"/>
      <c r="P24" s="1" t="s">
        <v>22</v>
      </c>
      <c r="Q24" s="2">
        <v>45.15</v>
      </c>
      <c r="R24" s="2">
        <v>76.260000000000005</v>
      </c>
      <c r="S24" s="2">
        <v>71</v>
      </c>
      <c r="T24" s="2">
        <v>74.430000000000007</v>
      </c>
      <c r="U24" s="2">
        <v>104.4</v>
      </c>
      <c r="V24" s="2">
        <v>77.8</v>
      </c>
      <c r="W24" s="2">
        <v>61.4</v>
      </c>
      <c r="X24" s="2">
        <v>98</v>
      </c>
      <c r="Y24" s="5">
        <v>81</v>
      </c>
    </row>
    <row r="25" spans="1:25" ht="30" x14ac:dyDescent="0.25">
      <c r="A25" s="4">
        <v>23</v>
      </c>
      <c r="B25" s="1">
        <v>16</v>
      </c>
      <c r="C25" s="1" t="s">
        <v>84</v>
      </c>
      <c r="D25" s="1">
        <v>23</v>
      </c>
      <c r="E25" s="1" t="s">
        <v>17</v>
      </c>
      <c r="F25" s="1" t="s">
        <v>85</v>
      </c>
      <c r="G25" s="1"/>
      <c r="H25" s="1" t="s">
        <v>19</v>
      </c>
      <c r="I25" s="1" t="s">
        <v>20</v>
      </c>
      <c r="J25" s="1"/>
      <c r="K25" s="1">
        <v>1997</v>
      </c>
      <c r="L25" s="1" t="s">
        <v>86</v>
      </c>
      <c r="M25" s="1"/>
      <c r="N25" s="1"/>
      <c r="O25" s="1"/>
      <c r="P25" s="1" t="s">
        <v>22</v>
      </c>
      <c r="Q25" s="2">
        <v>167.42</v>
      </c>
      <c r="R25" s="2">
        <v>139.24</v>
      </c>
      <c r="S25" s="2">
        <v>192.28</v>
      </c>
      <c r="T25" s="2">
        <v>141.04</v>
      </c>
      <c r="U25" s="2">
        <v>134</v>
      </c>
      <c r="V25" s="2">
        <v>65.7</v>
      </c>
      <c r="W25" s="2">
        <v>75.900000000000006</v>
      </c>
      <c r="X25" s="2">
        <v>107</v>
      </c>
      <c r="Y25" s="5">
        <v>106</v>
      </c>
    </row>
    <row r="26" spans="1:25" x14ac:dyDescent="0.25">
      <c r="A26" s="4">
        <v>24</v>
      </c>
      <c r="B26" s="1">
        <v>16</v>
      </c>
      <c r="C26" s="1" t="s">
        <v>82</v>
      </c>
      <c r="D26" s="1">
        <v>24</v>
      </c>
      <c r="E26" s="1" t="s">
        <v>17</v>
      </c>
      <c r="F26" s="1" t="s">
        <v>87</v>
      </c>
      <c r="G26" s="1"/>
      <c r="H26" s="1" t="s">
        <v>19</v>
      </c>
      <c r="I26" s="1" t="s">
        <v>20</v>
      </c>
      <c r="J26" s="1"/>
      <c r="K26" s="1">
        <v>1996</v>
      </c>
      <c r="L26" s="1" t="s">
        <v>78</v>
      </c>
      <c r="M26" s="1"/>
      <c r="N26" s="1"/>
      <c r="O26" s="1"/>
      <c r="P26" s="1" t="s">
        <v>22</v>
      </c>
      <c r="Q26" s="2">
        <v>88.86</v>
      </c>
      <c r="R26" s="2">
        <v>75.239999999999995</v>
      </c>
      <c r="S26" s="2">
        <v>99</v>
      </c>
      <c r="T26" s="2">
        <v>117.6</v>
      </c>
      <c r="U26" s="2">
        <v>137.4</v>
      </c>
      <c r="V26" s="2">
        <v>101.2</v>
      </c>
      <c r="W26" s="2">
        <v>0</v>
      </c>
      <c r="X26" s="2">
        <v>129</v>
      </c>
      <c r="Y26" s="5">
        <v>90</v>
      </c>
    </row>
    <row r="27" spans="1:25" x14ac:dyDescent="0.25">
      <c r="A27" s="4">
        <v>311</v>
      </c>
      <c r="B27" s="1"/>
      <c r="C27" s="1" t="s">
        <v>88</v>
      </c>
      <c r="D27" s="1">
        <v>31</v>
      </c>
      <c r="E27" s="1" t="s">
        <v>17</v>
      </c>
      <c r="F27" s="1" t="s">
        <v>89</v>
      </c>
      <c r="G27" s="1"/>
      <c r="H27" s="1" t="s">
        <v>19</v>
      </c>
      <c r="I27" s="1" t="s">
        <v>20</v>
      </c>
      <c r="J27" s="1"/>
      <c r="K27" s="1">
        <v>2021</v>
      </c>
      <c r="L27" s="1" t="s">
        <v>90</v>
      </c>
      <c r="M27" s="1"/>
      <c r="N27" s="1"/>
      <c r="O27" s="1"/>
      <c r="P27" s="1" t="s">
        <v>22</v>
      </c>
      <c r="Q27" s="2"/>
      <c r="R27" s="2"/>
      <c r="S27" s="2"/>
      <c r="T27" s="2"/>
      <c r="U27" s="2"/>
      <c r="V27" s="2"/>
      <c r="W27" s="2"/>
      <c r="X27" s="2">
        <v>8</v>
      </c>
      <c r="Y27" s="5">
        <v>52</v>
      </c>
    </row>
    <row r="28" spans="1:25" x14ac:dyDescent="0.25">
      <c r="A28" s="4">
        <v>26</v>
      </c>
      <c r="B28" s="1">
        <v>36</v>
      </c>
      <c r="C28" s="1" t="s">
        <v>91</v>
      </c>
      <c r="D28" s="1">
        <v>26</v>
      </c>
      <c r="E28" s="1" t="s">
        <v>17</v>
      </c>
      <c r="F28" s="1" t="s">
        <v>35</v>
      </c>
      <c r="G28" s="1"/>
      <c r="H28" s="1" t="s">
        <v>19</v>
      </c>
      <c r="I28" s="1" t="s">
        <v>20</v>
      </c>
      <c r="J28" s="1"/>
      <c r="K28" s="1">
        <v>1998</v>
      </c>
      <c r="L28" s="1" t="s">
        <v>92</v>
      </c>
      <c r="M28" s="1"/>
      <c r="N28" s="1"/>
      <c r="O28" s="1"/>
      <c r="P28" s="1" t="s">
        <v>22</v>
      </c>
      <c r="Q28" s="2">
        <v>86.69</v>
      </c>
      <c r="R28" s="2">
        <v>98.54</v>
      </c>
      <c r="S28" s="2">
        <v>110.61</v>
      </c>
      <c r="T28" s="2">
        <v>106.73</v>
      </c>
      <c r="U28" s="2">
        <v>175.2</v>
      </c>
      <c r="V28" s="2">
        <v>141</v>
      </c>
      <c r="W28" s="2">
        <v>90.2</v>
      </c>
      <c r="X28" s="2">
        <v>178</v>
      </c>
      <c r="Y28" s="5">
        <v>233</v>
      </c>
    </row>
    <row r="29" spans="1:25" x14ac:dyDescent="0.25">
      <c r="A29" s="4">
        <v>30</v>
      </c>
      <c r="B29" s="1">
        <v>27</v>
      </c>
      <c r="C29" s="1" t="s">
        <v>93</v>
      </c>
      <c r="D29" s="1">
        <v>30</v>
      </c>
      <c r="E29" s="1" t="s">
        <v>17</v>
      </c>
      <c r="F29" s="1" t="s">
        <v>35</v>
      </c>
      <c r="G29" s="1"/>
      <c r="H29" s="1" t="s">
        <v>19</v>
      </c>
      <c r="I29" s="1" t="s">
        <v>20</v>
      </c>
      <c r="J29" s="1"/>
      <c r="K29" s="1">
        <v>2016</v>
      </c>
      <c r="L29" s="1" t="s">
        <v>93</v>
      </c>
      <c r="M29" s="1"/>
      <c r="N29" s="1"/>
      <c r="O29" s="1"/>
      <c r="P29" s="1" t="s">
        <v>22</v>
      </c>
      <c r="Q29" s="2"/>
      <c r="R29" s="2"/>
      <c r="S29" s="2">
        <v>109.56</v>
      </c>
      <c r="T29" s="2">
        <v>105.71</v>
      </c>
      <c r="U29" s="2">
        <v>173.5</v>
      </c>
      <c r="V29" s="2">
        <v>194.4</v>
      </c>
      <c r="W29" s="2">
        <v>89.4</v>
      </c>
      <c r="X29" s="2">
        <v>176</v>
      </c>
      <c r="Y29" s="5">
        <v>231</v>
      </c>
    </row>
    <row r="30" spans="1:25" ht="30" x14ac:dyDescent="0.25">
      <c r="A30" s="4">
        <v>25</v>
      </c>
      <c r="B30" s="1">
        <v>14</v>
      </c>
      <c r="C30" s="1" t="s">
        <v>94</v>
      </c>
      <c r="D30" s="1">
        <v>25</v>
      </c>
      <c r="E30" s="1" t="s">
        <v>17</v>
      </c>
      <c r="F30" s="1" t="s">
        <v>95</v>
      </c>
      <c r="G30" s="1"/>
      <c r="H30" s="1" t="s">
        <v>19</v>
      </c>
      <c r="I30" s="1" t="s">
        <v>20</v>
      </c>
      <c r="J30" s="1"/>
      <c r="K30" s="1">
        <v>1996</v>
      </c>
      <c r="L30" s="1" t="s">
        <v>40</v>
      </c>
      <c r="M30" s="1"/>
      <c r="N30" s="1"/>
      <c r="O30" s="1"/>
      <c r="P30" s="1" t="s">
        <v>22</v>
      </c>
      <c r="Q30" s="2">
        <v>110.48</v>
      </c>
      <c r="R30" s="2">
        <v>99.55</v>
      </c>
      <c r="S30" s="2">
        <v>81.430000000000007</v>
      </c>
      <c r="T30" s="2">
        <v>93.27</v>
      </c>
      <c r="U30" s="2">
        <v>152.1</v>
      </c>
      <c r="V30" s="2">
        <v>56.8</v>
      </c>
      <c r="W30" s="2">
        <v>69.599999999999994</v>
      </c>
      <c r="X30" s="2">
        <v>144</v>
      </c>
      <c r="Y30" s="5">
        <v>129</v>
      </c>
    </row>
    <row r="31" spans="1:25" ht="30" x14ac:dyDescent="0.25">
      <c r="A31" s="4">
        <v>32</v>
      </c>
      <c r="B31" s="1">
        <v>14</v>
      </c>
      <c r="C31" s="1" t="s">
        <v>96</v>
      </c>
      <c r="D31" s="1">
        <v>32</v>
      </c>
      <c r="E31" s="1" t="s">
        <v>17</v>
      </c>
      <c r="F31" s="1" t="s">
        <v>35</v>
      </c>
      <c r="G31" s="1" t="s">
        <v>97</v>
      </c>
      <c r="H31" s="1" t="s">
        <v>19</v>
      </c>
      <c r="I31" s="1" t="s">
        <v>29</v>
      </c>
      <c r="J31" s="1"/>
      <c r="K31" s="1">
        <v>1994</v>
      </c>
      <c r="L31" s="1" t="s">
        <v>40</v>
      </c>
      <c r="M31" s="1"/>
      <c r="N31" s="1"/>
      <c r="O31" s="1"/>
      <c r="P31" s="1" t="s">
        <v>22</v>
      </c>
      <c r="Q31" s="2">
        <v>123.55</v>
      </c>
      <c r="R31" s="2">
        <v>145.84</v>
      </c>
      <c r="S31" s="2">
        <v>195.4</v>
      </c>
      <c r="T31" s="2">
        <v>157.77000000000001</v>
      </c>
      <c r="U31" s="2">
        <v>146.5</v>
      </c>
      <c r="V31" s="2">
        <v>135.1</v>
      </c>
      <c r="W31" s="2">
        <v>113</v>
      </c>
      <c r="X31" s="2">
        <v>155</v>
      </c>
      <c r="Y31" s="5">
        <v>159</v>
      </c>
    </row>
    <row r="32" spans="1:25" ht="30" x14ac:dyDescent="0.25">
      <c r="A32" s="4">
        <v>33</v>
      </c>
      <c r="B32" s="1">
        <v>4</v>
      </c>
      <c r="C32" s="1" t="s">
        <v>98</v>
      </c>
      <c r="D32" s="1">
        <v>33</v>
      </c>
      <c r="E32" s="1" t="s">
        <v>17</v>
      </c>
      <c r="F32" s="1" t="s">
        <v>42</v>
      </c>
      <c r="G32" s="1" t="s">
        <v>43</v>
      </c>
      <c r="H32" s="1" t="s">
        <v>19</v>
      </c>
      <c r="I32" s="1" t="s">
        <v>29</v>
      </c>
      <c r="J32" s="1"/>
      <c r="K32" s="1">
        <v>1995</v>
      </c>
      <c r="L32" s="1" t="s">
        <v>99</v>
      </c>
      <c r="M32" s="1"/>
      <c r="N32" s="1"/>
      <c r="O32" s="1"/>
      <c r="P32" s="1" t="s">
        <v>22</v>
      </c>
      <c r="Q32" s="2"/>
      <c r="R32" s="2"/>
      <c r="S32" s="2"/>
      <c r="T32" s="2"/>
      <c r="U32" s="2"/>
      <c r="V32" s="2"/>
      <c r="W32" s="2"/>
      <c r="X32" s="2"/>
      <c r="Y32" s="5"/>
    </row>
    <row r="33" spans="1:25" ht="30" x14ac:dyDescent="0.25">
      <c r="A33" s="4">
        <v>34</v>
      </c>
      <c r="B33" s="1">
        <v>14</v>
      </c>
      <c r="C33" s="1" t="s">
        <v>100</v>
      </c>
      <c r="D33" s="1">
        <v>34</v>
      </c>
      <c r="E33" s="1" t="s">
        <v>17</v>
      </c>
      <c r="F33" s="1" t="s">
        <v>101</v>
      </c>
      <c r="G33" s="1" t="s">
        <v>102</v>
      </c>
      <c r="H33" s="1" t="s">
        <v>19</v>
      </c>
      <c r="I33" s="1" t="s">
        <v>29</v>
      </c>
      <c r="J33" s="1"/>
      <c r="K33" s="1">
        <v>2006</v>
      </c>
      <c r="L33" s="1" t="s">
        <v>103</v>
      </c>
      <c r="M33" s="1"/>
      <c r="N33" s="1"/>
      <c r="O33" s="1"/>
      <c r="P33" s="1" t="s">
        <v>22</v>
      </c>
      <c r="Q33" s="2">
        <v>30.33</v>
      </c>
      <c r="R33" s="2">
        <v>30.33</v>
      </c>
      <c r="S33" s="2">
        <v>205.7</v>
      </c>
      <c r="T33" s="2">
        <v>54.25</v>
      </c>
      <c r="U33" s="2">
        <v>161</v>
      </c>
      <c r="V33" s="2">
        <v>173.4</v>
      </c>
      <c r="W33" s="2">
        <v>169.7</v>
      </c>
      <c r="X33" s="2">
        <v>169</v>
      </c>
      <c r="Y33" s="5">
        <v>175</v>
      </c>
    </row>
    <row r="34" spans="1:25" ht="30" x14ac:dyDescent="0.25">
      <c r="A34" s="4">
        <v>41</v>
      </c>
      <c r="B34" s="1">
        <v>52</v>
      </c>
      <c r="C34" s="1" t="s">
        <v>104</v>
      </c>
      <c r="D34" s="1">
        <v>41</v>
      </c>
      <c r="E34" s="1" t="s">
        <v>17</v>
      </c>
      <c r="F34" s="1" t="s">
        <v>18</v>
      </c>
      <c r="G34" s="1"/>
      <c r="H34" s="1" t="s">
        <v>105</v>
      </c>
      <c r="I34" s="1" t="s">
        <v>29</v>
      </c>
      <c r="J34" s="1"/>
      <c r="K34" s="1">
        <v>1986</v>
      </c>
      <c r="L34" s="1" t="s">
        <v>63</v>
      </c>
      <c r="M34" s="1"/>
      <c r="N34" s="1"/>
      <c r="O34" s="1"/>
      <c r="P34" s="1" t="s">
        <v>22</v>
      </c>
      <c r="Q34" s="2">
        <v>52.03</v>
      </c>
      <c r="R34" s="2">
        <v>56.51</v>
      </c>
      <c r="S34" s="2">
        <v>62.73</v>
      </c>
      <c r="T34" s="2">
        <v>66.13</v>
      </c>
      <c r="U34" s="2">
        <v>68.599999999999994</v>
      </c>
      <c r="V34" s="2">
        <v>32.299999999999997</v>
      </c>
      <c r="W34" s="2">
        <v>35.6</v>
      </c>
      <c r="X34" s="2">
        <v>60</v>
      </c>
      <c r="Y34" s="5">
        <v>66</v>
      </c>
    </row>
    <row r="35" spans="1:25" ht="45" x14ac:dyDescent="0.25">
      <c r="A35" s="4">
        <v>401</v>
      </c>
      <c r="B35" s="1">
        <v>8</v>
      </c>
      <c r="C35" s="1" t="s">
        <v>106</v>
      </c>
      <c r="D35" s="1" t="s">
        <v>107</v>
      </c>
      <c r="E35" s="1" t="s">
        <v>17</v>
      </c>
      <c r="F35" s="1" t="s">
        <v>108</v>
      </c>
      <c r="G35" s="1" t="s">
        <v>109</v>
      </c>
      <c r="H35" s="1" t="s">
        <v>105</v>
      </c>
      <c r="I35" s="1" t="s">
        <v>29</v>
      </c>
      <c r="J35" s="1"/>
      <c r="K35" s="1">
        <v>2019</v>
      </c>
      <c r="L35" s="1" t="s">
        <v>110</v>
      </c>
      <c r="M35" s="1"/>
      <c r="N35" s="1"/>
      <c r="O35" s="1"/>
      <c r="P35" s="1" t="s">
        <v>22</v>
      </c>
      <c r="Q35" s="2"/>
      <c r="R35" s="2"/>
      <c r="S35" s="2"/>
      <c r="T35" s="2"/>
      <c r="U35" s="2"/>
      <c r="V35" s="2"/>
      <c r="W35" s="2"/>
      <c r="X35" s="2">
        <v>63</v>
      </c>
      <c r="Y35" s="5">
        <v>109</v>
      </c>
    </row>
    <row r="36" spans="1:25" ht="45" x14ac:dyDescent="0.25">
      <c r="A36" s="4">
        <v>40</v>
      </c>
      <c r="B36" s="1">
        <v>47</v>
      </c>
      <c r="C36" s="1" t="s">
        <v>111</v>
      </c>
      <c r="D36" s="1">
        <v>40</v>
      </c>
      <c r="E36" s="1" t="s">
        <v>17</v>
      </c>
      <c r="F36" s="1" t="s">
        <v>112</v>
      </c>
      <c r="G36" s="1" t="s">
        <v>64</v>
      </c>
      <c r="H36" s="1" t="s">
        <v>19</v>
      </c>
      <c r="I36" s="1" t="s">
        <v>29</v>
      </c>
      <c r="J36" s="1"/>
      <c r="K36" s="1">
        <v>2017</v>
      </c>
      <c r="L36" s="1" t="s">
        <v>113</v>
      </c>
      <c r="M36" s="1"/>
      <c r="N36" s="1"/>
      <c r="O36" s="1"/>
      <c r="P36" s="1" t="s">
        <v>22</v>
      </c>
      <c r="Q36" s="2"/>
      <c r="R36" s="2"/>
      <c r="S36" s="2"/>
      <c r="T36" s="2">
        <v>26.17</v>
      </c>
      <c r="U36" s="2">
        <v>52.9</v>
      </c>
      <c r="V36" s="2">
        <v>68.8</v>
      </c>
      <c r="W36" s="2">
        <v>65.3</v>
      </c>
      <c r="X36" s="2">
        <v>90</v>
      </c>
      <c r="Y36" s="5">
        <v>95</v>
      </c>
    </row>
    <row r="37" spans="1:25" x14ac:dyDescent="0.25">
      <c r="A37" s="4">
        <v>57</v>
      </c>
      <c r="B37" s="1">
        <v>41</v>
      </c>
      <c r="C37" s="1" t="s">
        <v>114</v>
      </c>
      <c r="D37" s="1">
        <v>57</v>
      </c>
      <c r="E37" s="1" t="s">
        <v>17</v>
      </c>
      <c r="F37" s="1" t="s">
        <v>46</v>
      </c>
      <c r="G37" s="1"/>
      <c r="H37" s="1" t="s">
        <v>105</v>
      </c>
      <c r="I37" s="1" t="s">
        <v>20</v>
      </c>
      <c r="J37" s="1"/>
      <c r="K37" s="1">
        <v>1987</v>
      </c>
      <c r="L37" s="1" t="s">
        <v>115</v>
      </c>
      <c r="M37" s="1"/>
      <c r="N37" s="1"/>
      <c r="O37" s="1"/>
      <c r="P37" s="1" t="s">
        <v>22</v>
      </c>
      <c r="Q37" s="2">
        <v>143.01</v>
      </c>
      <c r="R37" s="2">
        <v>140.66</v>
      </c>
      <c r="S37" s="2">
        <v>128.65</v>
      </c>
      <c r="T37" s="2">
        <v>97.13</v>
      </c>
      <c r="U37" s="2">
        <v>104.8</v>
      </c>
      <c r="V37" s="2">
        <v>99.5</v>
      </c>
      <c r="W37" s="2">
        <v>71.900000000000006</v>
      </c>
      <c r="X37" s="2">
        <v>76</v>
      </c>
      <c r="Y37" s="5">
        <v>124</v>
      </c>
    </row>
    <row r="38" spans="1:25" x14ac:dyDescent="0.25">
      <c r="A38" s="4">
        <v>56</v>
      </c>
      <c r="B38" s="1">
        <v>70</v>
      </c>
      <c r="C38" s="1" t="s">
        <v>116</v>
      </c>
      <c r="D38" s="1">
        <v>56</v>
      </c>
      <c r="E38" s="1" t="s">
        <v>17</v>
      </c>
      <c r="F38" s="1" t="s">
        <v>117</v>
      </c>
      <c r="G38" s="1"/>
      <c r="H38" s="1" t="s">
        <v>105</v>
      </c>
      <c r="I38" s="1" t="s">
        <v>20</v>
      </c>
      <c r="J38" s="1"/>
      <c r="K38" s="1">
        <v>1987</v>
      </c>
      <c r="L38" s="1" t="s">
        <v>118</v>
      </c>
      <c r="M38" s="1"/>
      <c r="N38" s="1"/>
      <c r="O38" s="1"/>
      <c r="P38" s="1" t="s">
        <v>22</v>
      </c>
      <c r="Q38" s="2">
        <v>86.2</v>
      </c>
      <c r="R38" s="2">
        <v>96.72</v>
      </c>
      <c r="S38" s="2">
        <v>101.52</v>
      </c>
      <c r="T38" s="2">
        <v>105.2</v>
      </c>
      <c r="U38" s="2">
        <v>99.8</v>
      </c>
      <c r="V38" s="2">
        <v>67.7</v>
      </c>
      <c r="W38" s="2">
        <v>74.599999999999994</v>
      </c>
      <c r="X38" s="2">
        <v>99</v>
      </c>
      <c r="Y38" s="5">
        <v>119</v>
      </c>
    </row>
    <row r="39" spans="1:25" ht="30" x14ac:dyDescent="0.25">
      <c r="A39" s="4">
        <v>55</v>
      </c>
      <c r="B39" s="1">
        <v>70</v>
      </c>
      <c r="C39" s="1" t="s">
        <v>118</v>
      </c>
      <c r="D39" s="1">
        <v>55</v>
      </c>
      <c r="E39" s="1" t="s">
        <v>17</v>
      </c>
      <c r="F39" s="1" t="s">
        <v>18</v>
      </c>
      <c r="G39" s="1"/>
      <c r="H39" s="1" t="s">
        <v>105</v>
      </c>
      <c r="I39" s="1" t="s">
        <v>20</v>
      </c>
      <c r="J39" s="1"/>
      <c r="K39" s="1">
        <v>1987</v>
      </c>
      <c r="L39" s="1" t="s">
        <v>119</v>
      </c>
      <c r="M39" s="1"/>
      <c r="N39" s="1"/>
      <c r="O39" s="1"/>
      <c r="P39" s="1" t="s">
        <v>22</v>
      </c>
      <c r="Q39" s="2">
        <v>106.3</v>
      </c>
      <c r="R39" s="2">
        <v>134.59</v>
      </c>
      <c r="S39" s="2">
        <v>125.61</v>
      </c>
      <c r="T39" s="2">
        <v>79.349999999999994</v>
      </c>
      <c r="U39" s="2">
        <v>90.8</v>
      </c>
      <c r="V39" s="2">
        <v>75.7</v>
      </c>
      <c r="W39" s="2">
        <v>48.1</v>
      </c>
      <c r="X39" s="2">
        <v>94</v>
      </c>
      <c r="Y39" s="5">
        <v>90</v>
      </c>
    </row>
    <row r="40" spans="1:25" ht="45" x14ac:dyDescent="0.25">
      <c r="A40" s="4">
        <v>54</v>
      </c>
      <c r="B40" s="1">
        <v>30</v>
      </c>
      <c r="C40" s="1" t="s">
        <v>120</v>
      </c>
      <c r="D40" s="1">
        <v>54</v>
      </c>
      <c r="E40" s="1" t="s">
        <v>17</v>
      </c>
      <c r="F40" s="1" t="s">
        <v>35</v>
      </c>
      <c r="G40" s="1" t="s">
        <v>121</v>
      </c>
      <c r="H40" s="1" t="s">
        <v>19</v>
      </c>
      <c r="I40" s="1" t="s">
        <v>29</v>
      </c>
      <c r="J40" s="1" t="s">
        <v>49</v>
      </c>
      <c r="K40" s="1">
        <v>2017</v>
      </c>
      <c r="L40" s="1">
        <v>1</v>
      </c>
      <c r="M40" s="1"/>
      <c r="N40" s="1"/>
      <c r="O40" s="1"/>
      <c r="P40" s="1" t="s">
        <v>22</v>
      </c>
      <c r="Q40" s="2"/>
      <c r="R40" s="2"/>
      <c r="S40" s="2"/>
      <c r="T40" s="2">
        <v>33.94</v>
      </c>
      <c r="U40" s="2">
        <v>107.5</v>
      </c>
      <c r="V40" s="2">
        <v>155.19999999999999</v>
      </c>
      <c r="W40" s="2">
        <v>198</v>
      </c>
      <c r="X40" s="2">
        <v>173</v>
      </c>
      <c r="Y40" s="5">
        <v>126</v>
      </c>
    </row>
    <row r="41" spans="1:25" x14ac:dyDescent="0.25">
      <c r="A41" s="4">
        <v>53</v>
      </c>
      <c r="B41" s="1">
        <v>14</v>
      </c>
      <c r="C41" s="1" t="s">
        <v>122</v>
      </c>
      <c r="D41" s="1">
        <v>53</v>
      </c>
      <c r="E41" s="1" t="s">
        <v>17</v>
      </c>
      <c r="F41" s="1" t="s">
        <v>112</v>
      </c>
      <c r="G41" s="1"/>
      <c r="H41" s="1" t="s">
        <v>19</v>
      </c>
      <c r="I41" s="1" t="s">
        <v>20</v>
      </c>
      <c r="J41" s="1"/>
      <c r="K41" s="1"/>
      <c r="L41" s="1" t="s">
        <v>122</v>
      </c>
      <c r="M41" s="1"/>
      <c r="N41" s="1"/>
      <c r="O41" s="1"/>
      <c r="P41" s="1" t="s">
        <v>22</v>
      </c>
      <c r="Q41" s="2">
        <v>181.19</v>
      </c>
      <c r="R41" s="2">
        <v>168.81</v>
      </c>
      <c r="S41" s="2">
        <v>191.74</v>
      </c>
      <c r="T41" s="2">
        <v>142.13</v>
      </c>
      <c r="U41" s="2">
        <v>161.1</v>
      </c>
      <c r="V41" s="2">
        <v>160.30000000000001</v>
      </c>
      <c r="W41" s="2">
        <v>170.5</v>
      </c>
      <c r="X41" s="2">
        <v>213</v>
      </c>
      <c r="Y41" s="5">
        <v>224</v>
      </c>
    </row>
    <row r="42" spans="1:25" x14ac:dyDescent="0.25">
      <c r="A42" s="4">
        <v>52</v>
      </c>
      <c r="B42" s="1">
        <v>35</v>
      </c>
      <c r="C42" s="1" t="s">
        <v>116</v>
      </c>
      <c r="D42" s="1">
        <v>52</v>
      </c>
      <c r="E42" s="1" t="s">
        <v>17</v>
      </c>
      <c r="F42" s="1" t="s">
        <v>123</v>
      </c>
      <c r="G42" s="1"/>
      <c r="H42" s="1" t="s">
        <v>105</v>
      </c>
      <c r="I42" s="1" t="s">
        <v>20</v>
      </c>
      <c r="J42" s="1"/>
      <c r="K42" s="1">
        <v>1981</v>
      </c>
      <c r="L42" s="1" t="s">
        <v>124</v>
      </c>
      <c r="M42" s="1"/>
      <c r="N42" s="1"/>
      <c r="O42" s="1"/>
      <c r="P42" s="1" t="s">
        <v>22</v>
      </c>
      <c r="Q42" s="2">
        <v>283.32</v>
      </c>
      <c r="R42" s="2">
        <v>172.28</v>
      </c>
      <c r="S42" s="2">
        <v>180.56</v>
      </c>
      <c r="T42" s="2">
        <v>158.63999999999999</v>
      </c>
      <c r="U42" s="2">
        <v>151.80000000000001</v>
      </c>
      <c r="V42" s="2">
        <v>208.2</v>
      </c>
      <c r="W42" s="2">
        <v>173.5</v>
      </c>
      <c r="X42" s="2">
        <v>194</v>
      </c>
      <c r="Y42" s="5">
        <v>294</v>
      </c>
    </row>
    <row r="43" spans="1:25" x14ac:dyDescent="0.25">
      <c r="A43" s="4">
        <v>51</v>
      </c>
      <c r="B43" s="1">
        <v>10</v>
      </c>
      <c r="C43" s="1" t="s">
        <v>23</v>
      </c>
      <c r="D43" s="1">
        <v>51</v>
      </c>
      <c r="E43" s="1" t="s">
        <v>17</v>
      </c>
      <c r="F43" s="1" t="s">
        <v>46</v>
      </c>
      <c r="G43" s="1"/>
      <c r="H43" s="1" t="s">
        <v>105</v>
      </c>
      <c r="I43" s="1" t="s">
        <v>20</v>
      </c>
      <c r="J43" s="1"/>
      <c r="K43" s="1">
        <v>1981</v>
      </c>
      <c r="L43" s="1" t="s">
        <v>125</v>
      </c>
      <c r="M43" s="1"/>
      <c r="N43" s="1"/>
      <c r="O43" s="1"/>
      <c r="P43" s="1" t="s">
        <v>22</v>
      </c>
      <c r="Q43" s="2">
        <v>167.09</v>
      </c>
      <c r="R43" s="2">
        <v>167.09</v>
      </c>
      <c r="S43" s="2">
        <v>167.55</v>
      </c>
      <c r="T43" s="2">
        <v>128.41999999999999</v>
      </c>
      <c r="U43" s="2">
        <v>185.4</v>
      </c>
      <c r="V43" s="2">
        <v>175.7</v>
      </c>
      <c r="W43" s="2">
        <v>115.6</v>
      </c>
      <c r="X43" s="2">
        <v>176</v>
      </c>
      <c r="Y43" s="5">
        <v>222</v>
      </c>
    </row>
    <row r="44" spans="1:25" x14ac:dyDescent="0.25">
      <c r="A44" s="4">
        <v>50</v>
      </c>
      <c r="B44" s="1">
        <v>13</v>
      </c>
      <c r="C44" s="1" t="s">
        <v>40</v>
      </c>
      <c r="D44" s="1">
        <v>50</v>
      </c>
      <c r="E44" s="1" t="s">
        <v>17</v>
      </c>
      <c r="F44" s="1" t="s">
        <v>123</v>
      </c>
      <c r="G44" s="1"/>
      <c r="H44" s="1" t="s">
        <v>105</v>
      </c>
      <c r="I44" s="1" t="s">
        <v>20</v>
      </c>
      <c r="J44" s="1"/>
      <c r="K44" s="1"/>
      <c r="L44" s="1" t="s">
        <v>40</v>
      </c>
      <c r="M44" s="1"/>
      <c r="N44" s="1"/>
      <c r="O44" s="1"/>
      <c r="P44" s="1" t="s">
        <v>22</v>
      </c>
      <c r="Q44" s="2"/>
      <c r="R44" s="2">
        <v>138.19999999999999</v>
      </c>
      <c r="S44" s="2">
        <v>175.97</v>
      </c>
      <c r="T44" s="2">
        <v>134.84</v>
      </c>
      <c r="U44" s="2">
        <v>186.9</v>
      </c>
      <c r="V44" s="2">
        <v>219.5</v>
      </c>
      <c r="W44" s="2">
        <v>117.9</v>
      </c>
      <c r="X44" s="2">
        <v>185</v>
      </c>
      <c r="Y44" s="5">
        <v>306</v>
      </c>
    </row>
    <row r="45" spans="1:25" x14ac:dyDescent="0.25">
      <c r="A45" s="4">
        <v>49</v>
      </c>
      <c r="B45" s="1">
        <v>32</v>
      </c>
      <c r="C45" s="1" t="s">
        <v>37</v>
      </c>
      <c r="D45" s="1">
        <v>49</v>
      </c>
      <c r="E45" s="1" t="s">
        <v>17</v>
      </c>
      <c r="F45" s="1" t="s">
        <v>123</v>
      </c>
      <c r="G45" s="1"/>
      <c r="H45" s="1" t="s">
        <v>105</v>
      </c>
      <c r="I45" s="1" t="s">
        <v>20</v>
      </c>
      <c r="J45" s="1"/>
      <c r="K45" s="1">
        <v>1981</v>
      </c>
      <c r="L45" s="1" t="s">
        <v>37</v>
      </c>
      <c r="M45" s="1"/>
      <c r="N45" s="1"/>
      <c r="O45" s="1"/>
      <c r="P45" s="1" t="s">
        <v>22</v>
      </c>
      <c r="Q45" s="2"/>
      <c r="R45" s="2">
        <v>138.19999999999999</v>
      </c>
      <c r="S45" s="2">
        <v>175.97</v>
      </c>
      <c r="T45" s="2">
        <v>134.84</v>
      </c>
      <c r="U45" s="2">
        <v>186.9</v>
      </c>
      <c r="V45" s="2">
        <v>219.5</v>
      </c>
      <c r="W45" s="2">
        <v>117.9</v>
      </c>
      <c r="X45" s="2">
        <v>185</v>
      </c>
      <c r="Y45" s="5">
        <v>306</v>
      </c>
    </row>
    <row r="46" spans="1:25" ht="30" x14ac:dyDescent="0.25">
      <c r="A46" s="4">
        <v>48</v>
      </c>
      <c r="B46" s="1">
        <v>10</v>
      </c>
      <c r="C46" s="1" t="s">
        <v>68</v>
      </c>
      <c r="D46" s="1">
        <v>48</v>
      </c>
      <c r="E46" s="1" t="s">
        <v>17</v>
      </c>
      <c r="F46" s="1" t="s">
        <v>35</v>
      </c>
      <c r="G46" s="1"/>
      <c r="H46" s="1" t="s">
        <v>126</v>
      </c>
      <c r="I46" s="1" t="s">
        <v>20</v>
      </c>
      <c r="J46" s="1" t="s">
        <v>127</v>
      </c>
      <c r="K46" s="1">
        <v>2019</v>
      </c>
      <c r="L46" s="1" t="s">
        <v>128</v>
      </c>
      <c r="M46" s="1"/>
      <c r="N46" s="1"/>
      <c r="O46" s="1"/>
      <c r="P46" s="1" t="s">
        <v>22</v>
      </c>
      <c r="Q46" s="2">
        <v>106.02</v>
      </c>
      <c r="R46" s="2">
        <v>83.88</v>
      </c>
      <c r="S46" s="2">
        <v>18.39</v>
      </c>
      <c r="T46" s="2">
        <v>0</v>
      </c>
      <c r="U46" s="2">
        <v>0</v>
      </c>
      <c r="V46" s="2">
        <v>0</v>
      </c>
      <c r="W46" s="2">
        <v>7.7</v>
      </c>
      <c r="X46" s="2">
        <v>9</v>
      </c>
      <c r="Y46" s="5">
        <v>31</v>
      </c>
    </row>
    <row r="47" spans="1:25" x14ac:dyDescent="0.25">
      <c r="A47" s="4">
        <v>47</v>
      </c>
      <c r="B47" s="1">
        <v>12</v>
      </c>
      <c r="C47" s="1" t="s">
        <v>129</v>
      </c>
      <c r="D47" s="1">
        <v>47</v>
      </c>
      <c r="E47" s="1" t="s">
        <v>17</v>
      </c>
      <c r="F47" s="1" t="s">
        <v>35</v>
      </c>
      <c r="G47" s="1"/>
      <c r="H47" s="1" t="s">
        <v>19</v>
      </c>
      <c r="I47" s="1" t="s">
        <v>20</v>
      </c>
      <c r="J47" s="1"/>
      <c r="K47" s="1">
        <v>1999</v>
      </c>
      <c r="L47" s="1" t="s">
        <v>68</v>
      </c>
      <c r="M47" s="1"/>
      <c r="N47" s="1"/>
      <c r="O47" s="1"/>
      <c r="P47" s="1" t="s">
        <v>22</v>
      </c>
      <c r="Q47" s="2"/>
      <c r="R47" s="2"/>
      <c r="S47" s="2">
        <v>89.57</v>
      </c>
      <c r="T47" s="2">
        <v>69.59</v>
      </c>
      <c r="U47" s="2">
        <v>117.5</v>
      </c>
      <c r="V47" s="2">
        <v>76.5</v>
      </c>
      <c r="W47" s="2">
        <v>62.9</v>
      </c>
      <c r="X47" s="2">
        <v>90</v>
      </c>
      <c r="Y47" s="5">
        <v>88</v>
      </c>
    </row>
    <row r="48" spans="1:25" ht="30" x14ac:dyDescent="0.25">
      <c r="A48" s="4">
        <v>471</v>
      </c>
      <c r="B48" s="1">
        <v>12</v>
      </c>
      <c r="C48" s="1" t="s">
        <v>130</v>
      </c>
      <c r="D48" s="1" t="s">
        <v>131</v>
      </c>
      <c r="E48" s="1" t="s">
        <v>17</v>
      </c>
      <c r="F48" s="1" t="s">
        <v>18</v>
      </c>
      <c r="G48" s="1"/>
      <c r="H48" s="1" t="s">
        <v>19</v>
      </c>
      <c r="I48" s="1" t="s">
        <v>20</v>
      </c>
      <c r="J48" s="1"/>
      <c r="K48" s="1">
        <v>1999</v>
      </c>
      <c r="L48" s="1" t="s">
        <v>130</v>
      </c>
      <c r="M48" s="1"/>
      <c r="N48" s="1"/>
      <c r="O48" s="1"/>
      <c r="P48" s="1" t="s">
        <v>22</v>
      </c>
      <c r="Q48" s="2"/>
      <c r="R48" s="2"/>
      <c r="S48" s="2">
        <v>102.2</v>
      </c>
      <c r="T48" s="2">
        <v>76.86</v>
      </c>
      <c r="U48" s="2">
        <v>117.8</v>
      </c>
      <c r="V48" s="2">
        <v>72.400000000000006</v>
      </c>
      <c r="W48" s="2">
        <v>82.8</v>
      </c>
      <c r="X48" s="2">
        <v>33</v>
      </c>
      <c r="Y48" s="5">
        <v>86</v>
      </c>
    </row>
    <row r="49" spans="1:25" x14ac:dyDescent="0.25">
      <c r="A49" s="4">
        <v>42</v>
      </c>
      <c r="B49" s="1"/>
      <c r="C49" s="1" t="s">
        <v>132</v>
      </c>
      <c r="D49" s="1">
        <v>42</v>
      </c>
      <c r="E49" s="1" t="s">
        <v>56</v>
      </c>
      <c r="F49" s="1"/>
      <c r="G49" s="1"/>
      <c r="H49" s="1"/>
      <c r="I49" s="1" t="s">
        <v>20</v>
      </c>
      <c r="J49" s="1"/>
      <c r="K49" s="1"/>
      <c r="L49" s="1" t="s">
        <v>133</v>
      </c>
      <c r="M49" s="1"/>
      <c r="N49" s="1"/>
      <c r="O49" s="1"/>
      <c r="P49" s="1" t="s">
        <v>22</v>
      </c>
      <c r="Q49" s="2"/>
      <c r="R49" s="2"/>
      <c r="S49" s="2"/>
      <c r="T49" s="2"/>
      <c r="U49" s="2"/>
      <c r="V49" s="2"/>
      <c r="W49" s="2"/>
      <c r="X49" s="2"/>
      <c r="Y49" s="5"/>
    </row>
    <row r="50" spans="1:25" ht="30" x14ac:dyDescent="0.25">
      <c r="A50" s="4">
        <v>43</v>
      </c>
      <c r="B50" s="1">
        <v>30</v>
      </c>
      <c r="C50" s="1" t="s">
        <v>134</v>
      </c>
      <c r="D50" s="1">
        <v>43</v>
      </c>
      <c r="E50" s="1" t="s">
        <v>17</v>
      </c>
      <c r="F50" s="1" t="s">
        <v>35</v>
      </c>
      <c r="G50" s="1" t="s">
        <v>76</v>
      </c>
      <c r="H50" s="1" t="s">
        <v>19</v>
      </c>
      <c r="I50" s="1" t="s">
        <v>20</v>
      </c>
      <c r="J50" s="1"/>
      <c r="K50" s="1">
        <v>2001</v>
      </c>
      <c r="L50" s="1">
        <v>1</v>
      </c>
      <c r="M50" s="1"/>
      <c r="N50" s="1"/>
      <c r="O50" s="1"/>
      <c r="P50" s="1" t="s">
        <v>22</v>
      </c>
      <c r="Q50" s="2">
        <v>132.33000000000001</v>
      </c>
      <c r="R50" s="2">
        <v>106.75</v>
      </c>
      <c r="S50" s="2">
        <v>90.24</v>
      </c>
      <c r="T50" s="2">
        <v>73.3</v>
      </c>
      <c r="U50" s="2">
        <v>59.6</v>
      </c>
      <c r="V50" s="2">
        <v>52.2</v>
      </c>
      <c r="W50" s="2">
        <v>19.100000000000001</v>
      </c>
      <c r="X50" s="2">
        <v>62</v>
      </c>
      <c r="Y50" s="5">
        <v>81</v>
      </c>
    </row>
    <row r="51" spans="1:25" x14ac:dyDescent="0.25">
      <c r="A51" s="4">
        <v>44</v>
      </c>
      <c r="B51" s="1">
        <v>33</v>
      </c>
      <c r="C51" s="1" t="s">
        <v>135</v>
      </c>
      <c r="D51" s="1">
        <v>44</v>
      </c>
      <c r="E51" s="1" t="s">
        <v>17</v>
      </c>
      <c r="F51" s="1" t="s">
        <v>87</v>
      </c>
      <c r="G51" s="1"/>
      <c r="H51" s="1" t="s">
        <v>19</v>
      </c>
      <c r="I51" s="1" t="s">
        <v>20</v>
      </c>
      <c r="J51" s="1"/>
      <c r="K51" s="1">
        <v>2001</v>
      </c>
      <c r="L51" s="1" t="s">
        <v>136</v>
      </c>
      <c r="M51" s="1"/>
      <c r="N51" s="1"/>
      <c r="O51" s="1"/>
      <c r="P51" s="1" t="s">
        <v>22</v>
      </c>
      <c r="Q51" s="2">
        <v>187.43</v>
      </c>
      <c r="R51" s="2">
        <v>225.72</v>
      </c>
      <c r="S51" s="2">
        <v>206.5</v>
      </c>
      <c r="T51" s="2">
        <v>181.9</v>
      </c>
      <c r="U51" s="2">
        <v>255.7</v>
      </c>
      <c r="V51" s="2">
        <v>196.1</v>
      </c>
      <c r="W51" s="2">
        <v>168.2</v>
      </c>
      <c r="X51" s="2">
        <v>200</v>
      </c>
      <c r="Y51" s="5">
        <v>166</v>
      </c>
    </row>
    <row r="52" spans="1:25" x14ac:dyDescent="0.25">
      <c r="A52" s="4">
        <v>45</v>
      </c>
      <c r="B52" s="1">
        <v>35</v>
      </c>
      <c r="C52" s="1" t="s">
        <v>137</v>
      </c>
      <c r="D52" s="1">
        <v>45</v>
      </c>
      <c r="E52" s="1" t="s">
        <v>17</v>
      </c>
      <c r="F52" s="1" t="s">
        <v>138</v>
      </c>
      <c r="G52" s="1"/>
      <c r="H52" s="1" t="s">
        <v>19</v>
      </c>
      <c r="I52" s="1" t="s">
        <v>20</v>
      </c>
      <c r="J52" s="1"/>
      <c r="K52" s="1">
        <v>1981</v>
      </c>
      <c r="L52" s="1" t="s">
        <v>139</v>
      </c>
      <c r="M52" s="1"/>
      <c r="N52" s="1"/>
      <c r="O52" s="1"/>
      <c r="P52" s="1" t="s">
        <v>22</v>
      </c>
      <c r="Q52" s="2">
        <v>38.15</v>
      </c>
      <c r="R52" s="2">
        <v>16.87</v>
      </c>
      <c r="S52" s="2">
        <v>18.3</v>
      </c>
      <c r="T52" s="2">
        <v>19.87</v>
      </c>
      <c r="U52" s="2">
        <v>22</v>
      </c>
      <c r="V52" s="2">
        <v>26.4</v>
      </c>
      <c r="W52" s="2">
        <v>21.2</v>
      </c>
      <c r="X52" s="2">
        <v>22</v>
      </c>
      <c r="Y52" s="5">
        <v>0</v>
      </c>
    </row>
    <row r="53" spans="1:25" x14ac:dyDescent="0.25">
      <c r="A53" s="4">
        <v>46</v>
      </c>
      <c r="B53" s="1"/>
      <c r="C53" s="1" t="s">
        <v>140</v>
      </c>
      <c r="D53" s="1">
        <v>46</v>
      </c>
      <c r="E53" s="1" t="s">
        <v>56</v>
      </c>
      <c r="F53" s="1"/>
      <c r="G53" s="1"/>
      <c r="H53" s="1"/>
      <c r="I53" s="1" t="s">
        <v>20</v>
      </c>
      <c r="J53" s="1"/>
      <c r="K53" s="1"/>
      <c r="L53" s="1" t="s">
        <v>141</v>
      </c>
      <c r="M53" s="1"/>
      <c r="N53" s="1"/>
      <c r="O53" s="1"/>
      <c r="P53" s="1" t="s">
        <v>22</v>
      </c>
      <c r="Q53" s="2"/>
      <c r="R53" s="2"/>
      <c r="S53" s="2"/>
      <c r="T53" s="2"/>
      <c r="U53" s="2"/>
      <c r="V53" s="2"/>
      <c r="W53" s="2"/>
      <c r="X53" s="2"/>
      <c r="Y53" s="5"/>
    </row>
    <row r="54" spans="1:25" ht="30" x14ac:dyDescent="0.25">
      <c r="A54" s="4">
        <v>58</v>
      </c>
      <c r="B54" s="1">
        <v>19</v>
      </c>
      <c r="C54" s="1" t="s">
        <v>40</v>
      </c>
      <c r="D54" s="1">
        <v>58</v>
      </c>
      <c r="E54" s="1" t="s">
        <v>17</v>
      </c>
      <c r="F54" s="1" t="s">
        <v>18</v>
      </c>
      <c r="G54" s="1"/>
      <c r="H54" s="1" t="s">
        <v>19</v>
      </c>
      <c r="I54" s="1" t="s">
        <v>20</v>
      </c>
      <c r="J54" s="1"/>
      <c r="K54" s="1">
        <v>1994</v>
      </c>
      <c r="L54" s="1" t="s">
        <v>128</v>
      </c>
      <c r="M54" s="1"/>
      <c r="N54" s="1"/>
      <c r="O54" s="1"/>
      <c r="P54" s="1" t="s">
        <v>22</v>
      </c>
      <c r="Q54" s="2">
        <v>244.35</v>
      </c>
      <c r="R54" s="2">
        <v>300.89999999999998</v>
      </c>
      <c r="S54" s="2">
        <v>358</v>
      </c>
      <c r="T54" s="2">
        <v>363.08</v>
      </c>
      <c r="U54" s="2">
        <v>75.400000000000006</v>
      </c>
      <c r="V54" s="2">
        <v>44.5</v>
      </c>
      <c r="W54" s="2">
        <v>46.4</v>
      </c>
      <c r="X54" s="2">
        <v>48</v>
      </c>
      <c r="Y54" s="5">
        <v>40</v>
      </c>
    </row>
    <row r="55" spans="1:25" x14ac:dyDescent="0.25">
      <c r="A55" s="4">
        <v>59</v>
      </c>
      <c r="B55" s="1"/>
      <c r="C55" s="1" t="s">
        <v>142</v>
      </c>
      <c r="D55" s="1">
        <v>59</v>
      </c>
      <c r="E55" s="1" t="s">
        <v>56</v>
      </c>
      <c r="F55" s="1"/>
      <c r="G55" s="1"/>
      <c r="H55" s="1"/>
      <c r="I55" s="1" t="s">
        <v>20</v>
      </c>
      <c r="J55" s="1"/>
      <c r="K55" s="1"/>
      <c r="L55" s="1" t="s">
        <v>142</v>
      </c>
      <c r="M55" s="1"/>
      <c r="N55" s="1"/>
      <c r="O55" s="1"/>
      <c r="P55" s="1" t="s">
        <v>22</v>
      </c>
      <c r="Q55" s="2"/>
      <c r="R55" s="2"/>
      <c r="S55" s="2"/>
      <c r="T55" s="2"/>
      <c r="U55" s="2"/>
      <c r="V55" s="2"/>
      <c r="W55" s="2"/>
      <c r="X55" s="2"/>
      <c r="Y55" s="5"/>
    </row>
    <row r="56" spans="1:25" x14ac:dyDescent="0.25">
      <c r="A56" s="4">
        <v>171</v>
      </c>
      <c r="B56" s="1">
        <v>12</v>
      </c>
      <c r="C56" s="1" t="s">
        <v>143</v>
      </c>
      <c r="D56" s="1">
        <v>17</v>
      </c>
      <c r="E56" s="1" t="s">
        <v>17</v>
      </c>
      <c r="F56" s="1" t="s">
        <v>35</v>
      </c>
      <c r="G56" s="1"/>
      <c r="H56" s="1" t="s">
        <v>19</v>
      </c>
      <c r="I56" s="1" t="s">
        <v>29</v>
      </c>
      <c r="J56" s="1" t="s">
        <v>127</v>
      </c>
      <c r="K56" s="1">
        <v>2016</v>
      </c>
      <c r="L56" s="1" t="s">
        <v>94</v>
      </c>
      <c r="M56" s="1"/>
      <c r="N56" s="1"/>
      <c r="O56" s="1"/>
      <c r="P56" s="1" t="s">
        <v>22</v>
      </c>
      <c r="Q56" s="2"/>
      <c r="R56" s="2"/>
      <c r="S56" s="2">
        <v>161.16999999999999</v>
      </c>
      <c r="T56" s="2">
        <v>164.03</v>
      </c>
      <c r="U56" s="2">
        <v>234.4</v>
      </c>
      <c r="V56" s="2">
        <v>193.4</v>
      </c>
      <c r="W56" s="2">
        <v>205.7</v>
      </c>
      <c r="X56" s="2">
        <v>268</v>
      </c>
      <c r="Y56" s="5">
        <v>261</v>
      </c>
    </row>
    <row r="57" spans="1:25" ht="30" x14ac:dyDescent="0.25">
      <c r="A57" s="4">
        <v>35</v>
      </c>
      <c r="B57" s="1">
        <v>55</v>
      </c>
      <c r="C57" s="1" t="s">
        <v>144</v>
      </c>
      <c r="D57" s="1">
        <v>35</v>
      </c>
      <c r="E57" s="1" t="s">
        <v>17</v>
      </c>
      <c r="F57" s="1" t="s">
        <v>145</v>
      </c>
      <c r="G57" s="1" t="s">
        <v>43</v>
      </c>
      <c r="H57" s="1" t="s">
        <v>19</v>
      </c>
      <c r="I57" s="1" t="s">
        <v>29</v>
      </c>
      <c r="J57" s="1"/>
      <c r="K57" s="1">
        <v>2006</v>
      </c>
      <c r="L57" s="1" t="s">
        <v>146</v>
      </c>
      <c r="M57" s="1"/>
      <c r="N57" s="1"/>
      <c r="O57" s="1"/>
      <c r="P57" s="1" t="s">
        <v>22</v>
      </c>
      <c r="Q57" s="2">
        <v>206.19</v>
      </c>
      <c r="R57" s="2">
        <v>214.3</v>
      </c>
      <c r="S57" s="2">
        <v>95.77</v>
      </c>
      <c r="T57" s="2">
        <v>78</v>
      </c>
      <c r="U57" s="2">
        <v>120.05</v>
      </c>
      <c r="V57" s="2">
        <v>119.2</v>
      </c>
      <c r="W57" s="2">
        <v>111.9</v>
      </c>
      <c r="X57" s="2">
        <v>78</v>
      </c>
      <c r="Y57" s="5">
        <v>127</v>
      </c>
    </row>
    <row r="58" spans="1:25" ht="30" x14ac:dyDescent="0.25">
      <c r="A58" s="4">
        <v>36</v>
      </c>
      <c r="B58" s="1">
        <v>10</v>
      </c>
      <c r="C58" s="1" t="s">
        <v>147</v>
      </c>
      <c r="D58" s="1">
        <v>36</v>
      </c>
      <c r="E58" s="1" t="s">
        <v>17</v>
      </c>
      <c r="F58" s="1" t="s">
        <v>148</v>
      </c>
      <c r="G58" s="1" t="s">
        <v>43</v>
      </c>
      <c r="H58" s="1" t="s">
        <v>19</v>
      </c>
      <c r="I58" s="1" t="s">
        <v>29</v>
      </c>
      <c r="J58" s="1"/>
      <c r="K58" s="1"/>
      <c r="L58" s="1" t="s">
        <v>78</v>
      </c>
      <c r="M58" s="1"/>
      <c r="N58" s="1"/>
      <c r="O58" s="1"/>
      <c r="P58" s="1" t="s">
        <v>22</v>
      </c>
      <c r="Q58" s="2"/>
      <c r="R58" s="2"/>
      <c r="S58" s="2"/>
      <c r="T58" s="2"/>
      <c r="U58" s="2">
        <v>62.6</v>
      </c>
      <c r="V58" s="2">
        <v>63.4</v>
      </c>
      <c r="W58" s="2">
        <v>17.399999999999999</v>
      </c>
      <c r="X58" s="2">
        <v>19</v>
      </c>
      <c r="Y58" s="5">
        <v>38</v>
      </c>
    </row>
    <row r="59" spans="1:25" ht="30" x14ac:dyDescent="0.25">
      <c r="A59" s="4">
        <v>393</v>
      </c>
      <c r="B59" s="1">
        <v>19</v>
      </c>
      <c r="C59" s="1" t="s">
        <v>149</v>
      </c>
      <c r="D59" s="1" t="s">
        <v>150</v>
      </c>
      <c r="E59" s="1" t="s">
        <v>17</v>
      </c>
      <c r="F59" s="1" t="s">
        <v>35</v>
      </c>
      <c r="G59" s="1" t="s">
        <v>43</v>
      </c>
      <c r="H59" s="1" t="s">
        <v>19</v>
      </c>
      <c r="I59" s="1" t="s">
        <v>29</v>
      </c>
      <c r="J59" s="1" t="s">
        <v>49</v>
      </c>
      <c r="K59" s="1">
        <v>2017</v>
      </c>
      <c r="L59" s="1" t="s">
        <v>151</v>
      </c>
      <c r="M59" s="1"/>
      <c r="N59" s="1"/>
      <c r="O59" s="1"/>
      <c r="P59" s="1" t="s">
        <v>22</v>
      </c>
      <c r="Q59" s="2"/>
      <c r="R59" s="2"/>
      <c r="S59" s="2"/>
      <c r="T59" s="2">
        <v>11.35</v>
      </c>
      <c r="U59" s="2">
        <v>77.599999999999994</v>
      </c>
      <c r="V59" s="2">
        <v>192.3</v>
      </c>
      <c r="W59" s="2">
        <v>133.4</v>
      </c>
      <c r="X59" s="2">
        <v>204</v>
      </c>
      <c r="Y59" s="5">
        <v>130</v>
      </c>
    </row>
    <row r="60" spans="1:25" ht="30" x14ac:dyDescent="0.25">
      <c r="A60" s="4">
        <v>392</v>
      </c>
      <c r="B60" s="1">
        <v>6</v>
      </c>
      <c r="C60" s="1" t="s">
        <v>130</v>
      </c>
      <c r="D60" s="1" t="s">
        <v>152</v>
      </c>
      <c r="E60" s="1" t="s">
        <v>17</v>
      </c>
      <c r="F60" s="1" t="s">
        <v>35</v>
      </c>
      <c r="G60" s="1" t="s">
        <v>43</v>
      </c>
      <c r="H60" s="1" t="s">
        <v>19</v>
      </c>
      <c r="I60" s="1" t="s">
        <v>29</v>
      </c>
      <c r="J60" s="1"/>
      <c r="K60" s="1"/>
      <c r="L60" s="1" t="s">
        <v>68</v>
      </c>
      <c r="M60" s="1"/>
      <c r="N60" s="1"/>
      <c r="O60" s="1"/>
      <c r="P60" s="1" t="s">
        <v>22</v>
      </c>
      <c r="Q60" s="2"/>
      <c r="R60" s="2"/>
      <c r="S60" s="2"/>
      <c r="T60" s="2"/>
      <c r="U60" s="2"/>
      <c r="V60" s="2">
        <v>28.2</v>
      </c>
      <c r="W60" s="2">
        <v>32.799999999999997</v>
      </c>
      <c r="X60" s="2">
        <v>175</v>
      </c>
      <c r="Y60" s="5">
        <v>184</v>
      </c>
    </row>
    <row r="61" spans="1:25" ht="30" x14ac:dyDescent="0.25">
      <c r="A61" s="4">
        <v>391</v>
      </c>
      <c r="B61" s="1">
        <v>15</v>
      </c>
      <c r="C61" s="1" t="s">
        <v>54</v>
      </c>
      <c r="D61" s="1" t="s">
        <v>153</v>
      </c>
      <c r="E61" s="1" t="s">
        <v>17</v>
      </c>
      <c r="F61" s="1" t="s">
        <v>154</v>
      </c>
      <c r="G61" s="1" t="s">
        <v>76</v>
      </c>
      <c r="H61" s="1"/>
      <c r="I61" s="1"/>
      <c r="J61" s="1"/>
      <c r="K61" s="1"/>
      <c r="L61" s="1" t="s">
        <v>155</v>
      </c>
      <c r="M61" s="1"/>
      <c r="N61" s="1"/>
      <c r="O61" s="1"/>
      <c r="P61" s="1" t="s">
        <v>22</v>
      </c>
      <c r="Q61" s="2"/>
      <c r="R61" s="2"/>
      <c r="S61" s="2"/>
      <c r="T61" s="2"/>
      <c r="U61" s="2"/>
      <c r="V61" s="2"/>
      <c r="W61" s="2"/>
      <c r="X61" s="2"/>
      <c r="Y61" s="5"/>
    </row>
    <row r="62" spans="1:25" x14ac:dyDescent="0.25">
      <c r="A62" s="4">
        <v>39</v>
      </c>
      <c r="B62" s="1">
        <v>4</v>
      </c>
      <c r="C62" s="1" t="s">
        <v>57</v>
      </c>
      <c r="D62" s="1">
        <v>39</v>
      </c>
      <c r="E62" s="1" t="s">
        <v>17</v>
      </c>
      <c r="F62" s="1" t="s">
        <v>46</v>
      </c>
      <c r="G62" s="1" t="s">
        <v>62</v>
      </c>
      <c r="H62" s="1" t="s">
        <v>19</v>
      </c>
      <c r="I62" s="1" t="s">
        <v>29</v>
      </c>
      <c r="J62" s="1"/>
      <c r="K62" s="1">
        <v>2011</v>
      </c>
      <c r="L62" s="1" t="s">
        <v>156</v>
      </c>
      <c r="M62" s="1"/>
      <c r="N62" s="1"/>
      <c r="O62" s="1"/>
      <c r="P62" s="1" t="s">
        <v>22</v>
      </c>
      <c r="Q62" s="2">
        <v>153.03</v>
      </c>
      <c r="R62" s="2">
        <v>169.82</v>
      </c>
      <c r="S62" s="2">
        <v>145.97</v>
      </c>
      <c r="T62" s="2">
        <v>116.6</v>
      </c>
      <c r="U62" s="2">
        <v>130.19999999999999</v>
      </c>
      <c r="V62" s="2">
        <v>140.19999999999999</v>
      </c>
      <c r="W62" s="2">
        <v>121.5</v>
      </c>
      <c r="X62" s="2">
        <v>116</v>
      </c>
      <c r="Y62" s="5">
        <v>104</v>
      </c>
    </row>
    <row r="63" spans="1:25" x14ac:dyDescent="0.25">
      <c r="A63" s="4">
        <v>381</v>
      </c>
      <c r="B63" s="1">
        <v>4</v>
      </c>
      <c r="C63" s="1" t="s">
        <v>57</v>
      </c>
      <c r="D63" s="1" t="s">
        <v>157</v>
      </c>
      <c r="E63" s="1" t="s">
        <v>17</v>
      </c>
      <c r="F63" s="1" t="s">
        <v>35</v>
      </c>
      <c r="G63" s="1" t="s">
        <v>62</v>
      </c>
      <c r="H63" s="1" t="s">
        <v>19</v>
      </c>
      <c r="I63" s="1" t="s">
        <v>29</v>
      </c>
      <c r="J63" s="1"/>
      <c r="K63" s="1">
        <v>2011</v>
      </c>
      <c r="L63" s="1" t="s">
        <v>156</v>
      </c>
      <c r="M63" s="1"/>
      <c r="N63" s="1"/>
      <c r="O63" s="1"/>
      <c r="P63" s="1" t="s">
        <v>22</v>
      </c>
      <c r="Q63" s="2">
        <v>291.2</v>
      </c>
      <c r="R63" s="2">
        <v>146.32</v>
      </c>
      <c r="S63" s="2">
        <v>165.11</v>
      </c>
      <c r="T63" s="2">
        <v>168.1</v>
      </c>
      <c r="U63" s="2">
        <v>151.69999999999999</v>
      </c>
      <c r="V63" s="2">
        <v>155.4</v>
      </c>
      <c r="W63" s="2">
        <v>111.8</v>
      </c>
      <c r="X63" s="2">
        <v>141</v>
      </c>
      <c r="Y63" s="5">
        <v>79</v>
      </c>
    </row>
    <row r="64" spans="1:25" ht="30" x14ac:dyDescent="0.25">
      <c r="A64" s="4">
        <v>38</v>
      </c>
      <c r="B64" s="1">
        <v>8</v>
      </c>
      <c r="C64" s="1" t="s">
        <v>21</v>
      </c>
      <c r="D64" s="1">
        <v>38</v>
      </c>
      <c r="E64" s="1" t="s">
        <v>17</v>
      </c>
      <c r="F64" s="1" t="s">
        <v>158</v>
      </c>
      <c r="G64" s="1"/>
      <c r="H64" s="1" t="s">
        <v>19</v>
      </c>
      <c r="I64" s="1" t="s">
        <v>29</v>
      </c>
      <c r="J64" s="1"/>
      <c r="K64" s="1">
        <v>2017</v>
      </c>
      <c r="L64" s="1" t="s">
        <v>156</v>
      </c>
      <c r="M64" s="1"/>
      <c r="N64" s="1"/>
      <c r="O64" s="1"/>
      <c r="P64" s="1" t="s">
        <v>22</v>
      </c>
      <c r="Q64" s="2"/>
      <c r="R64" s="2"/>
      <c r="S64" s="2"/>
      <c r="T64" s="2"/>
      <c r="U64" s="2"/>
      <c r="V64" s="2"/>
      <c r="W64" s="2"/>
      <c r="X64" s="2"/>
      <c r="Y64" s="5"/>
    </row>
    <row r="65" spans="1:25" x14ac:dyDescent="0.25">
      <c r="A65" s="4">
        <v>37</v>
      </c>
      <c r="B65" s="1"/>
      <c r="C65" s="1" t="s">
        <v>54</v>
      </c>
      <c r="D65" s="1">
        <v>37</v>
      </c>
      <c r="E65" s="1" t="s">
        <v>61</v>
      </c>
      <c r="F65" s="1"/>
      <c r="G65" s="1"/>
      <c r="H65" s="1"/>
      <c r="I65" s="1"/>
      <c r="J65" s="1"/>
      <c r="K65" s="1"/>
      <c r="L65" s="1" t="s">
        <v>54</v>
      </c>
      <c r="M65" s="1"/>
      <c r="N65" s="1"/>
      <c r="O65" s="1"/>
      <c r="P65" s="1" t="s">
        <v>22</v>
      </c>
      <c r="Q65" s="2"/>
      <c r="R65" s="2"/>
      <c r="S65" s="2"/>
      <c r="T65" s="2"/>
      <c r="U65" s="2"/>
      <c r="V65" s="2"/>
      <c r="W65" s="2"/>
      <c r="X65" s="2"/>
      <c r="Y65" s="5"/>
    </row>
    <row r="66" spans="1:25" ht="30" x14ac:dyDescent="0.25">
      <c r="A66" s="4">
        <v>60</v>
      </c>
      <c r="B66" s="1"/>
      <c r="C66" s="1" t="s">
        <v>159</v>
      </c>
      <c r="D66" s="1">
        <v>60</v>
      </c>
      <c r="E66" s="1" t="s">
        <v>160</v>
      </c>
      <c r="F66" s="1"/>
      <c r="G66" s="1" t="s">
        <v>161</v>
      </c>
      <c r="H66" s="1"/>
      <c r="I66" s="1"/>
      <c r="J66" s="1"/>
      <c r="K66" s="1"/>
      <c r="L66" s="1" t="s">
        <v>159</v>
      </c>
      <c r="M66" s="1" t="s">
        <v>61</v>
      </c>
      <c r="N66" s="1" t="s">
        <v>162</v>
      </c>
      <c r="O66" s="1" t="s">
        <v>163</v>
      </c>
      <c r="P66" s="1" t="s">
        <v>164</v>
      </c>
      <c r="Q66" s="2"/>
      <c r="R66" s="2"/>
      <c r="S66" s="2"/>
      <c r="T66" s="2"/>
      <c r="U66" s="2"/>
      <c r="V66" s="2"/>
      <c r="W66" s="2"/>
      <c r="X66" s="2"/>
      <c r="Y66" s="5"/>
    </row>
    <row r="67" spans="1:25" x14ac:dyDescent="0.25">
      <c r="A67" s="4">
        <v>61</v>
      </c>
      <c r="B67" s="1"/>
      <c r="C67" s="1" t="s">
        <v>159</v>
      </c>
      <c r="D67" s="1">
        <v>61</v>
      </c>
      <c r="E67" s="1" t="s">
        <v>165</v>
      </c>
      <c r="F67" s="1"/>
      <c r="G67" s="1" t="s">
        <v>166</v>
      </c>
      <c r="H67" s="1"/>
      <c r="I67" s="1"/>
      <c r="J67" s="1"/>
      <c r="K67" s="1"/>
      <c r="L67" s="1" t="s">
        <v>159</v>
      </c>
      <c r="M67" s="1" t="s">
        <v>165</v>
      </c>
      <c r="N67" s="1">
        <v>32</v>
      </c>
      <c r="O67" s="1" t="s">
        <v>167</v>
      </c>
      <c r="P67" s="1" t="s">
        <v>164</v>
      </c>
      <c r="Q67" s="2"/>
      <c r="R67" s="2"/>
      <c r="S67" s="2"/>
      <c r="T67" s="2"/>
      <c r="U67" s="2"/>
      <c r="V67" s="2"/>
      <c r="W67" s="2"/>
      <c r="X67" s="2"/>
      <c r="Y67" s="5"/>
    </row>
    <row r="68" spans="1:25" ht="45" x14ac:dyDescent="0.25">
      <c r="A68" s="4">
        <v>741</v>
      </c>
      <c r="B68" s="1"/>
      <c r="C68" s="1" t="s">
        <v>168</v>
      </c>
      <c r="D68" s="1">
        <v>74</v>
      </c>
      <c r="E68" s="1"/>
      <c r="F68" s="1"/>
      <c r="G68" s="1" t="s">
        <v>62</v>
      </c>
      <c r="H68" s="1"/>
      <c r="I68" s="1"/>
      <c r="J68" s="1"/>
      <c r="K68" s="1"/>
      <c r="L68" s="1" t="s">
        <v>168</v>
      </c>
      <c r="M68" s="1" t="s">
        <v>169</v>
      </c>
      <c r="N68" s="1"/>
      <c r="O68" s="1"/>
      <c r="P68" s="1" t="s">
        <v>170</v>
      </c>
      <c r="Q68" s="2"/>
      <c r="R68" s="2"/>
      <c r="S68" s="2"/>
      <c r="T68" s="2"/>
      <c r="U68" s="2"/>
      <c r="V68" s="2"/>
      <c r="W68" s="2"/>
      <c r="X68" s="2"/>
      <c r="Y68" s="5"/>
    </row>
    <row r="69" spans="1:25" x14ac:dyDescent="0.25">
      <c r="A69" s="4">
        <v>63</v>
      </c>
      <c r="B69" s="1"/>
      <c r="C69" s="1" t="s">
        <v>168</v>
      </c>
      <c r="D69" s="1">
        <v>63</v>
      </c>
      <c r="E69" s="1"/>
      <c r="F69" s="1"/>
      <c r="G69" s="1" t="s">
        <v>171</v>
      </c>
      <c r="H69" s="1"/>
      <c r="I69" s="1"/>
      <c r="J69" s="1"/>
      <c r="K69" s="1"/>
      <c r="L69" s="1" t="s">
        <v>168</v>
      </c>
      <c r="M69" s="1"/>
      <c r="N69" s="1">
        <v>12</v>
      </c>
      <c r="O69" s="1">
        <v>7</v>
      </c>
      <c r="P69" s="1" t="s">
        <v>164</v>
      </c>
      <c r="Q69" s="2"/>
      <c r="R69" s="2"/>
      <c r="S69" s="2"/>
      <c r="T69" s="2"/>
      <c r="U69" s="2"/>
      <c r="V69" s="2"/>
      <c r="W69" s="2"/>
      <c r="X69" s="2"/>
      <c r="Y69" s="5"/>
    </row>
    <row r="70" spans="1:25" x14ac:dyDescent="0.25">
      <c r="A70" s="4">
        <v>64</v>
      </c>
      <c r="B70" s="1"/>
      <c r="C70" s="1" t="s">
        <v>159</v>
      </c>
      <c r="D70" s="1">
        <v>64</v>
      </c>
      <c r="E70" s="1"/>
      <c r="F70" s="1"/>
      <c r="G70" s="1"/>
      <c r="H70" s="1"/>
      <c r="I70" s="1"/>
      <c r="J70" s="1"/>
      <c r="K70" s="1"/>
      <c r="L70" s="1" t="s">
        <v>159</v>
      </c>
      <c r="M70" s="1"/>
      <c r="N70" s="1" t="s">
        <v>172</v>
      </c>
      <c r="O70" s="1">
        <v>11</v>
      </c>
      <c r="P70" s="1" t="s">
        <v>164</v>
      </c>
      <c r="Q70" s="2"/>
      <c r="R70" s="2"/>
      <c r="S70" s="2"/>
      <c r="T70" s="2"/>
      <c r="U70" s="2"/>
      <c r="V70" s="2"/>
      <c r="W70" s="2"/>
      <c r="X70" s="2"/>
      <c r="Y70" s="5"/>
    </row>
    <row r="71" spans="1:25" ht="45" x14ac:dyDescent="0.25">
      <c r="A71" s="4">
        <v>65</v>
      </c>
      <c r="B71" s="1"/>
      <c r="C71" s="1" t="s">
        <v>168</v>
      </c>
      <c r="D71" s="1">
        <v>65</v>
      </c>
      <c r="E71" s="1"/>
      <c r="F71" s="1"/>
      <c r="G71" s="1" t="s">
        <v>76</v>
      </c>
      <c r="H71" s="1"/>
      <c r="I71" s="1"/>
      <c r="J71" s="1"/>
      <c r="K71" s="1"/>
      <c r="L71" s="1" t="s">
        <v>168</v>
      </c>
      <c r="M71" s="1" t="s">
        <v>173</v>
      </c>
      <c r="N71" s="1">
        <v>16</v>
      </c>
      <c r="O71" s="1" t="s">
        <v>174</v>
      </c>
      <c r="P71" s="1" t="s">
        <v>164</v>
      </c>
      <c r="Q71" s="2"/>
      <c r="R71" s="2"/>
      <c r="S71" s="2"/>
      <c r="T71" s="2"/>
      <c r="U71" s="2"/>
      <c r="V71" s="2"/>
      <c r="W71" s="2"/>
      <c r="X71" s="2"/>
      <c r="Y71" s="5"/>
    </row>
    <row r="72" spans="1:25" x14ac:dyDescent="0.25">
      <c r="A72" s="4">
        <v>66</v>
      </c>
      <c r="B72" s="1"/>
      <c r="C72" s="1" t="s">
        <v>168</v>
      </c>
      <c r="D72" s="1">
        <v>66</v>
      </c>
      <c r="E72" s="1"/>
      <c r="F72" s="1"/>
      <c r="G72" s="1"/>
      <c r="H72" s="1"/>
      <c r="I72" s="1"/>
      <c r="J72" s="1"/>
      <c r="K72" s="1"/>
      <c r="L72" s="1" t="s">
        <v>168</v>
      </c>
      <c r="M72" s="1"/>
      <c r="N72" s="1">
        <v>12</v>
      </c>
      <c r="O72" s="1" t="s">
        <v>167</v>
      </c>
      <c r="P72" s="1" t="s">
        <v>164</v>
      </c>
      <c r="Q72" s="2"/>
      <c r="R72" s="2"/>
      <c r="S72" s="2"/>
      <c r="T72" s="2"/>
      <c r="U72" s="2"/>
      <c r="V72" s="2"/>
      <c r="W72" s="2"/>
      <c r="X72" s="2"/>
      <c r="Y72" s="5"/>
    </row>
    <row r="73" spans="1:25" ht="30" x14ac:dyDescent="0.25">
      <c r="A73" s="4">
        <v>68</v>
      </c>
      <c r="B73" s="1"/>
      <c r="C73" s="1" t="s">
        <v>168</v>
      </c>
      <c r="D73" s="1">
        <v>68</v>
      </c>
      <c r="E73" s="1" t="s">
        <v>175</v>
      </c>
      <c r="F73" s="1"/>
      <c r="G73" s="1" t="s">
        <v>176</v>
      </c>
      <c r="H73" s="1"/>
      <c r="I73" s="1"/>
      <c r="J73" s="1"/>
      <c r="K73" s="1"/>
      <c r="L73" s="1" t="s">
        <v>168</v>
      </c>
      <c r="M73" s="1" t="s">
        <v>175</v>
      </c>
      <c r="N73" s="1" t="s">
        <v>31</v>
      </c>
      <c r="O73" s="1" t="s">
        <v>177</v>
      </c>
      <c r="P73" s="1" t="s">
        <v>164</v>
      </c>
      <c r="Q73" s="2"/>
      <c r="R73" s="2"/>
      <c r="S73" s="2"/>
      <c r="T73" s="2"/>
      <c r="U73" s="2"/>
      <c r="V73" s="2"/>
      <c r="W73" s="2"/>
      <c r="X73" s="2"/>
      <c r="Y73" s="5"/>
    </row>
    <row r="74" spans="1:25" x14ac:dyDescent="0.25">
      <c r="A74" s="4">
        <v>69</v>
      </c>
      <c r="B74" s="1"/>
      <c r="C74" s="1" t="s">
        <v>168</v>
      </c>
      <c r="D74" s="1">
        <v>69</v>
      </c>
      <c r="E74" s="1"/>
      <c r="F74" s="1"/>
      <c r="G74" s="1"/>
      <c r="H74" s="1"/>
      <c r="I74" s="1"/>
      <c r="J74" s="1"/>
      <c r="K74" s="1"/>
      <c r="L74" s="1" t="s">
        <v>168</v>
      </c>
      <c r="M74" s="1"/>
      <c r="N74" s="1" t="s">
        <v>178</v>
      </c>
      <c r="O74" s="1" t="s">
        <v>179</v>
      </c>
      <c r="P74" s="1" t="s">
        <v>164</v>
      </c>
      <c r="Q74" s="2"/>
      <c r="R74" s="2"/>
      <c r="S74" s="2"/>
      <c r="T74" s="2"/>
      <c r="U74" s="2"/>
      <c r="V74" s="2"/>
      <c r="W74" s="2"/>
      <c r="X74" s="2"/>
      <c r="Y74" s="5"/>
    </row>
    <row r="75" spans="1:25" x14ac:dyDescent="0.25">
      <c r="A75" s="4">
        <v>67</v>
      </c>
      <c r="B75" s="1"/>
      <c r="C75" s="1" t="s">
        <v>180</v>
      </c>
      <c r="D75" s="1">
        <v>67</v>
      </c>
      <c r="E75" s="1"/>
      <c r="F75" s="1"/>
      <c r="G75" s="1"/>
      <c r="H75" s="1"/>
      <c r="I75" s="1"/>
      <c r="J75" s="1"/>
      <c r="K75" s="1"/>
      <c r="L75" s="1" t="s">
        <v>180</v>
      </c>
      <c r="M75" s="1"/>
      <c r="N75" s="1">
        <v>46</v>
      </c>
      <c r="O75" s="1">
        <v>8</v>
      </c>
      <c r="P75" s="1" t="s">
        <v>164</v>
      </c>
      <c r="Q75" s="2"/>
      <c r="R75" s="2"/>
      <c r="S75" s="2"/>
      <c r="T75" s="2"/>
      <c r="U75" s="2"/>
      <c r="V75" s="2"/>
      <c r="W75" s="2"/>
      <c r="X75" s="2"/>
      <c r="Y75" s="5"/>
    </row>
    <row r="76" spans="1:25" ht="30" x14ac:dyDescent="0.25">
      <c r="A76" s="4">
        <v>70</v>
      </c>
      <c r="B76" s="1"/>
      <c r="C76" s="1" t="s">
        <v>99</v>
      </c>
      <c r="D76" s="1">
        <v>70</v>
      </c>
      <c r="E76" s="1"/>
      <c r="F76" s="1"/>
      <c r="G76" s="1" t="s">
        <v>181</v>
      </c>
      <c r="H76" s="1"/>
      <c r="I76" s="1"/>
      <c r="J76" s="1"/>
      <c r="K76" s="1"/>
      <c r="L76" s="1" t="s">
        <v>99</v>
      </c>
      <c r="M76" s="1" t="s">
        <v>181</v>
      </c>
      <c r="N76" s="1"/>
      <c r="O76" s="1"/>
      <c r="P76" s="1" t="s">
        <v>170</v>
      </c>
      <c r="Q76" s="2"/>
      <c r="R76" s="2"/>
      <c r="S76" s="2"/>
      <c r="T76" s="2"/>
      <c r="U76" s="2"/>
      <c r="V76" s="2"/>
      <c r="W76" s="2"/>
      <c r="X76" s="2"/>
      <c r="Y76" s="5"/>
    </row>
    <row r="77" spans="1:25" ht="30" x14ac:dyDescent="0.25">
      <c r="A77" s="4">
        <v>71</v>
      </c>
      <c r="B77" s="1"/>
      <c r="C77" s="1" t="s">
        <v>182</v>
      </c>
      <c r="D77" s="1">
        <v>71</v>
      </c>
      <c r="E77" s="1"/>
      <c r="F77" s="1"/>
      <c r="G77" s="1" t="s">
        <v>183</v>
      </c>
      <c r="H77" s="1"/>
      <c r="I77" s="1"/>
      <c r="J77" s="1"/>
      <c r="K77" s="1"/>
      <c r="L77" s="1" t="s">
        <v>182</v>
      </c>
      <c r="M77" s="1" t="s">
        <v>183</v>
      </c>
      <c r="N77" s="1"/>
      <c r="O77" s="1"/>
      <c r="P77" s="1" t="s">
        <v>170</v>
      </c>
      <c r="Q77" s="2"/>
      <c r="R77" s="2"/>
      <c r="S77" s="2"/>
      <c r="T77" s="2"/>
      <c r="U77" s="2"/>
      <c r="V77" s="2"/>
      <c r="W77" s="2"/>
      <c r="X77" s="2"/>
      <c r="Y77" s="5"/>
    </row>
    <row r="78" spans="1:25" ht="30" x14ac:dyDescent="0.25">
      <c r="A78" s="4">
        <v>72</v>
      </c>
      <c r="B78" s="1"/>
      <c r="C78" s="1" t="s">
        <v>41</v>
      </c>
      <c r="D78" s="1">
        <v>72</v>
      </c>
      <c r="E78" s="1"/>
      <c r="F78" s="1"/>
      <c r="G78" s="1" t="s">
        <v>184</v>
      </c>
      <c r="H78" s="1"/>
      <c r="I78" s="1"/>
      <c r="J78" s="1"/>
      <c r="K78" s="1"/>
      <c r="L78" s="1" t="s">
        <v>41</v>
      </c>
      <c r="M78" s="1" t="s">
        <v>184</v>
      </c>
      <c r="N78" s="1"/>
      <c r="O78" s="1"/>
      <c r="P78" s="1" t="s">
        <v>170</v>
      </c>
      <c r="Q78" s="2"/>
      <c r="R78" s="2"/>
      <c r="S78" s="2"/>
      <c r="T78" s="2"/>
      <c r="U78" s="2"/>
      <c r="V78" s="2"/>
      <c r="W78" s="2"/>
      <c r="X78" s="2"/>
      <c r="Y78" s="5"/>
    </row>
    <row r="79" spans="1:25" ht="45" x14ac:dyDescent="0.25">
      <c r="A79" s="4">
        <v>73</v>
      </c>
      <c r="B79" s="1"/>
      <c r="C79" s="1" t="s">
        <v>168</v>
      </c>
      <c r="D79" s="1">
        <v>73</v>
      </c>
      <c r="E79" s="1"/>
      <c r="F79" s="1"/>
      <c r="G79" s="1" t="s">
        <v>185</v>
      </c>
      <c r="H79" s="1"/>
      <c r="I79" s="1"/>
      <c r="J79" s="1"/>
      <c r="K79" s="1"/>
      <c r="L79" s="1" t="s">
        <v>168</v>
      </c>
      <c r="M79" s="1" t="s">
        <v>186</v>
      </c>
      <c r="N79" s="1"/>
      <c r="O79" s="1"/>
      <c r="P79" s="1" t="s">
        <v>170</v>
      </c>
      <c r="Q79" s="2"/>
      <c r="R79" s="2"/>
      <c r="S79" s="2"/>
      <c r="T79" s="2"/>
      <c r="U79" s="2"/>
      <c r="V79" s="2"/>
      <c r="W79" s="2"/>
      <c r="X79" s="2"/>
      <c r="Y79" s="5"/>
    </row>
    <row r="80" spans="1:25" ht="30" x14ac:dyDescent="0.25">
      <c r="A80" s="4">
        <v>62</v>
      </c>
      <c r="B80" s="1"/>
      <c r="C80" s="1" t="s">
        <v>159</v>
      </c>
      <c r="D80" s="1">
        <v>62</v>
      </c>
      <c r="E80" s="1"/>
      <c r="F80" s="1"/>
      <c r="G80" s="1" t="s">
        <v>187</v>
      </c>
      <c r="H80" s="1"/>
      <c r="I80" s="1"/>
      <c r="J80" s="1"/>
      <c r="K80" s="1"/>
      <c r="L80" s="1" t="s">
        <v>159</v>
      </c>
      <c r="M80" s="1" t="s">
        <v>188</v>
      </c>
      <c r="N80" s="1" t="s">
        <v>189</v>
      </c>
      <c r="O80" s="1" t="s">
        <v>31</v>
      </c>
      <c r="P80" s="1" t="s">
        <v>164</v>
      </c>
      <c r="Q80" s="2"/>
      <c r="R80" s="2"/>
      <c r="S80" s="2"/>
      <c r="T80" s="2"/>
      <c r="U80" s="2"/>
      <c r="V80" s="2"/>
      <c r="W80" s="2"/>
      <c r="X80" s="2"/>
      <c r="Y80" s="5"/>
    </row>
    <row r="81" spans="1:25" x14ac:dyDescent="0.25">
      <c r="A81" s="4">
        <v>75</v>
      </c>
      <c r="B81" s="1"/>
      <c r="C81" s="1" t="s">
        <v>159</v>
      </c>
      <c r="D81" s="1">
        <v>75</v>
      </c>
      <c r="E81" s="1"/>
      <c r="F81" s="1"/>
      <c r="G81" s="1" t="s">
        <v>190</v>
      </c>
      <c r="H81" s="1"/>
      <c r="I81" s="1"/>
      <c r="J81" s="1"/>
      <c r="K81" s="1"/>
      <c r="L81" s="1" t="s">
        <v>159</v>
      </c>
      <c r="M81" s="1" t="s">
        <v>191</v>
      </c>
      <c r="N81" s="1"/>
      <c r="O81" s="1"/>
      <c r="P81" s="1" t="s">
        <v>170</v>
      </c>
      <c r="Q81" s="2"/>
      <c r="R81" s="2"/>
      <c r="S81" s="2"/>
      <c r="T81" s="2"/>
      <c r="U81" s="2"/>
      <c r="V81" s="2"/>
      <c r="W81" s="2"/>
      <c r="X81" s="2"/>
      <c r="Y81" s="5"/>
    </row>
    <row r="82" spans="1:25" ht="60" x14ac:dyDescent="0.25">
      <c r="A82" s="4">
        <v>76</v>
      </c>
      <c r="B82" s="1"/>
      <c r="C82" s="1" t="s">
        <v>159</v>
      </c>
      <c r="D82" s="1">
        <v>76</v>
      </c>
      <c r="E82" s="1"/>
      <c r="F82" s="1"/>
      <c r="G82" s="1" t="s">
        <v>192</v>
      </c>
      <c r="H82" s="1"/>
      <c r="I82" s="1"/>
      <c r="J82" s="1"/>
      <c r="K82" s="1"/>
      <c r="L82" s="1" t="s">
        <v>159</v>
      </c>
      <c r="M82" s="1" t="s">
        <v>192</v>
      </c>
      <c r="N82" s="1"/>
      <c r="O82" s="1"/>
      <c r="P82" s="1" t="s">
        <v>170</v>
      </c>
      <c r="Q82" s="2"/>
      <c r="R82" s="2"/>
      <c r="S82" s="2"/>
      <c r="T82" s="2"/>
      <c r="U82" s="2"/>
      <c r="V82" s="2"/>
      <c r="W82" s="2"/>
      <c r="X82" s="2"/>
      <c r="Y82" s="5"/>
    </row>
    <row r="83" spans="1:25" ht="30" x14ac:dyDescent="0.25">
      <c r="A83" s="4">
        <v>89</v>
      </c>
      <c r="B83" s="1"/>
      <c r="C83" s="1" t="s">
        <v>159</v>
      </c>
      <c r="D83" s="1">
        <v>89</v>
      </c>
      <c r="E83" s="1"/>
      <c r="F83" s="1"/>
      <c r="G83" s="1" t="s">
        <v>193</v>
      </c>
      <c r="H83" s="1"/>
      <c r="I83" s="1"/>
      <c r="J83" s="1"/>
      <c r="K83" s="1"/>
      <c r="L83" s="1" t="s">
        <v>159</v>
      </c>
      <c r="M83" s="1" t="s">
        <v>194</v>
      </c>
      <c r="N83" s="1"/>
      <c r="O83" s="1"/>
      <c r="P83" s="1" t="s">
        <v>170</v>
      </c>
      <c r="Q83" s="2"/>
      <c r="R83" s="2"/>
      <c r="S83" s="2"/>
      <c r="T83" s="2"/>
      <c r="U83" s="2"/>
      <c r="V83" s="2"/>
      <c r="W83" s="2"/>
      <c r="X83" s="2"/>
      <c r="Y83" s="5"/>
    </row>
    <row r="84" spans="1:25" x14ac:dyDescent="0.25">
      <c r="A84" s="4">
        <v>77</v>
      </c>
      <c r="B84" s="1"/>
      <c r="C84" s="1" t="s">
        <v>195</v>
      </c>
      <c r="D84" s="1">
        <v>77</v>
      </c>
      <c r="E84" s="1"/>
      <c r="F84" s="1"/>
      <c r="G84" s="1" t="s">
        <v>196</v>
      </c>
      <c r="H84" s="1"/>
      <c r="I84" s="1"/>
      <c r="J84" s="1"/>
      <c r="K84" s="1"/>
      <c r="L84" s="1" t="s">
        <v>195</v>
      </c>
      <c r="M84" s="1" t="s">
        <v>196</v>
      </c>
      <c r="N84" s="1"/>
      <c r="O84" s="1"/>
      <c r="P84" s="1" t="s">
        <v>170</v>
      </c>
      <c r="Q84" s="2"/>
      <c r="R84" s="2"/>
      <c r="S84" s="2"/>
      <c r="T84" s="2"/>
      <c r="U84" s="2"/>
      <c r="V84" s="2"/>
      <c r="W84" s="2"/>
      <c r="X84" s="2"/>
      <c r="Y84" s="5"/>
    </row>
    <row r="85" spans="1:25" x14ac:dyDescent="0.25">
      <c r="A85" s="4">
        <v>78</v>
      </c>
      <c r="B85" s="1"/>
      <c r="C85" s="1" t="s">
        <v>168</v>
      </c>
      <c r="D85" s="1">
        <v>78</v>
      </c>
      <c r="E85" s="1"/>
      <c r="F85" s="1"/>
      <c r="G85" s="1" t="s">
        <v>196</v>
      </c>
      <c r="H85" s="1"/>
      <c r="I85" s="1"/>
      <c r="J85" s="1"/>
      <c r="K85" s="1"/>
      <c r="L85" s="1" t="s">
        <v>168</v>
      </c>
      <c r="M85" s="1" t="s">
        <v>196</v>
      </c>
      <c r="N85" s="1"/>
      <c r="O85" s="1"/>
      <c r="P85" s="1" t="s">
        <v>170</v>
      </c>
      <c r="Q85" s="2"/>
      <c r="R85" s="2"/>
      <c r="S85" s="2"/>
      <c r="T85" s="2"/>
      <c r="U85" s="2"/>
      <c r="V85" s="2"/>
      <c r="W85" s="2"/>
      <c r="X85" s="2"/>
      <c r="Y85" s="5"/>
    </row>
    <row r="86" spans="1:25" x14ac:dyDescent="0.25">
      <c r="A86" s="4">
        <v>79</v>
      </c>
      <c r="B86" s="1"/>
      <c r="C86" s="1" t="s">
        <v>168</v>
      </c>
      <c r="D86" s="1">
        <v>79</v>
      </c>
      <c r="E86" s="1"/>
      <c r="F86" s="1"/>
      <c r="G86" s="1" t="s">
        <v>196</v>
      </c>
      <c r="H86" s="1"/>
      <c r="I86" s="1"/>
      <c r="J86" s="1"/>
      <c r="K86" s="1"/>
      <c r="L86" s="1" t="s">
        <v>168</v>
      </c>
      <c r="M86" s="1" t="s">
        <v>196</v>
      </c>
      <c r="N86" s="1"/>
      <c r="O86" s="1"/>
      <c r="P86" s="1" t="s">
        <v>170</v>
      </c>
      <c r="Q86" s="2"/>
      <c r="R86" s="2"/>
      <c r="S86" s="2"/>
      <c r="T86" s="2"/>
      <c r="U86" s="2"/>
      <c r="V86" s="2"/>
      <c r="W86" s="2"/>
      <c r="X86" s="2"/>
      <c r="Y86" s="5"/>
    </row>
    <row r="87" spans="1:25" x14ac:dyDescent="0.25">
      <c r="A87" s="4">
        <v>86</v>
      </c>
      <c r="B87" s="1"/>
      <c r="C87" s="1" t="s">
        <v>182</v>
      </c>
      <c r="D87" s="1">
        <v>86</v>
      </c>
      <c r="E87" s="1"/>
      <c r="F87" s="1"/>
      <c r="G87" s="1" t="s">
        <v>196</v>
      </c>
      <c r="H87" s="1"/>
      <c r="I87" s="1"/>
      <c r="J87" s="1"/>
      <c r="K87" s="1"/>
      <c r="L87" s="1" t="s">
        <v>182</v>
      </c>
      <c r="M87" s="1" t="s">
        <v>196</v>
      </c>
      <c r="N87" s="1"/>
      <c r="O87" s="1"/>
      <c r="P87" s="1" t="s">
        <v>170</v>
      </c>
      <c r="Q87" s="2"/>
      <c r="R87" s="2"/>
      <c r="S87" s="2"/>
      <c r="T87" s="2"/>
      <c r="U87" s="2"/>
      <c r="V87" s="2"/>
      <c r="W87" s="2"/>
      <c r="X87" s="2"/>
      <c r="Y87" s="5"/>
    </row>
    <row r="88" spans="1:25" x14ac:dyDescent="0.25">
      <c r="A88" s="4">
        <v>80</v>
      </c>
      <c r="B88" s="1"/>
      <c r="C88" s="1" t="s">
        <v>168</v>
      </c>
      <c r="D88" s="1">
        <v>80</v>
      </c>
      <c r="E88" s="1"/>
      <c r="F88" s="1"/>
      <c r="G88" s="1" t="s">
        <v>196</v>
      </c>
      <c r="H88" s="1"/>
      <c r="I88" s="1"/>
      <c r="J88" s="1"/>
      <c r="K88" s="1"/>
      <c r="L88" s="1" t="s">
        <v>168</v>
      </c>
      <c r="M88" s="1" t="s">
        <v>196</v>
      </c>
      <c r="N88" s="1"/>
      <c r="O88" s="1"/>
      <c r="P88" s="1" t="s">
        <v>170</v>
      </c>
      <c r="Q88" s="2"/>
      <c r="R88" s="2"/>
      <c r="S88" s="2"/>
      <c r="T88" s="2"/>
      <c r="U88" s="2"/>
      <c r="V88" s="2"/>
      <c r="W88" s="2"/>
      <c r="X88" s="2"/>
      <c r="Y88" s="5"/>
    </row>
    <row r="89" spans="1:25" ht="60" x14ac:dyDescent="0.25">
      <c r="A89" s="4">
        <v>81</v>
      </c>
      <c r="B89" s="1"/>
      <c r="C89" s="1" t="s">
        <v>44</v>
      </c>
      <c r="D89" s="1">
        <v>81</v>
      </c>
      <c r="E89" s="1"/>
      <c r="F89" s="1"/>
      <c r="G89" s="1" t="s">
        <v>102</v>
      </c>
      <c r="H89" s="1"/>
      <c r="I89" s="1"/>
      <c r="J89" s="1"/>
      <c r="K89" s="1"/>
      <c r="L89" s="1" t="s">
        <v>44</v>
      </c>
      <c r="M89" s="1" t="s">
        <v>197</v>
      </c>
      <c r="N89" s="1"/>
      <c r="O89" s="1"/>
      <c r="P89" s="1" t="s">
        <v>170</v>
      </c>
      <c r="Q89" s="2"/>
      <c r="R89" s="2"/>
      <c r="S89" s="2"/>
      <c r="T89" s="2"/>
      <c r="U89" s="2"/>
      <c r="V89" s="2"/>
      <c r="W89" s="2"/>
      <c r="X89" s="2"/>
      <c r="Y89" s="5"/>
    </row>
    <row r="90" spans="1:25" ht="45" x14ac:dyDescent="0.25">
      <c r="A90" s="4">
        <v>82</v>
      </c>
      <c r="B90" s="1"/>
      <c r="C90" s="1" t="s">
        <v>180</v>
      </c>
      <c r="D90" s="1">
        <v>82</v>
      </c>
      <c r="E90" s="1"/>
      <c r="F90" s="1"/>
      <c r="G90" s="1" t="s">
        <v>198</v>
      </c>
      <c r="H90" s="1"/>
      <c r="I90" s="1"/>
      <c r="J90" s="1"/>
      <c r="K90" s="1"/>
      <c r="L90" s="1" t="s">
        <v>180</v>
      </c>
      <c r="M90" s="1" t="s">
        <v>199</v>
      </c>
      <c r="N90" s="1"/>
      <c r="O90" s="1"/>
      <c r="P90" s="1" t="s">
        <v>170</v>
      </c>
      <c r="Q90" s="2"/>
      <c r="R90" s="2"/>
      <c r="S90" s="2"/>
      <c r="T90" s="2"/>
      <c r="U90" s="2"/>
      <c r="V90" s="2"/>
      <c r="W90" s="2"/>
      <c r="X90" s="2"/>
      <c r="Y90" s="5"/>
    </row>
    <row r="91" spans="1:25" ht="45" x14ac:dyDescent="0.25">
      <c r="A91" s="4">
        <v>83</v>
      </c>
      <c r="B91" s="1"/>
      <c r="C91" s="1" t="s">
        <v>180</v>
      </c>
      <c r="D91" s="1">
        <v>83</v>
      </c>
      <c r="E91" s="1"/>
      <c r="F91" s="1"/>
      <c r="G91" s="1" t="s">
        <v>200</v>
      </c>
      <c r="H91" s="1"/>
      <c r="I91" s="1"/>
      <c r="J91" s="1"/>
      <c r="K91" s="1"/>
      <c r="L91" s="1" t="s">
        <v>180</v>
      </c>
      <c r="M91" s="1" t="s">
        <v>201</v>
      </c>
      <c r="N91" s="1"/>
      <c r="O91" s="1"/>
      <c r="P91" s="1" t="s">
        <v>170</v>
      </c>
      <c r="Q91" s="2"/>
      <c r="R91" s="2"/>
      <c r="S91" s="2"/>
      <c r="T91" s="2"/>
      <c r="U91" s="2"/>
      <c r="V91" s="2"/>
      <c r="W91" s="2"/>
      <c r="X91" s="2"/>
      <c r="Y91" s="5"/>
    </row>
    <row r="92" spans="1:25" ht="45" x14ac:dyDescent="0.25">
      <c r="A92" s="4">
        <v>84</v>
      </c>
      <c r="B92" s="1"/>
      <c r="C92" s="1" t="s">
        <v>195</v>
      </c>
      <c r="D92" s="1">
        <v>84</v>
      </c>
      <c r="E92" s="1"/>
      <c r="F92" s="1"/>
      <c r="G92" s="1" t="s">
        <v>202</v>
      </c>
      <c r="H92" s="1"/>
      <c r="I92" s="1"/>
      <c r="J92" s="1"/>
      <c r="K92" s="1"/>
      <c r="L92" s="1" t="s">
        <v>195</v>
      </c>
      <c r="M92" s="1" t="s">
        <v>203</v>
      </c>
      <c r="N92" s="1"/>
      <c r="O92" s="1"/>
      <c r="P92" s="1" t="s">
        <v>170</v>
      </c>
      <c r="Q92" s="2"/>
      <c r="R92" s="2"/>
      <c r="S92" s="2"/>
      <c r="T92" s="2"/>
      <c r="U92" s="2"/>
      <c r="V92" s="2"/>
      <c r="W92" s="2"/>
      <c r="X92" s="2"/>
      <c r="Y92" s="5"/>
    </row>
    <row r="93" spans="1:25" x14ac:dyDescent="0.25">
      <c r="A93" s="4">
        <v>85</v>
      </c>
      <c r="B93" s="1"/>
      <c r="C93" s="1" t="s">
        <v>180</v>
      </c>
      <c r="D93" s="1">
        <v>85</v>
      </c>
      <c r="E93" s="1"/>
      <c r="F93" s="1"/>
      <c r="G93" s="1" t="s">
        <v>190</v>
      </c>
      <c r="H93" s="1"/>
      <c r="I93" s="1"/>
      <c r="J93" s="1"/>
      <c r="K93" s="1"/>
      <c r="L93" s="1" t="s">
        <v>180</v>
      </c>
      <c r="M93" s="1" t="s">
        <v>191</v>
      </c>
      <c r="N93" s="1"/>
      <c r="O93" s="1"/>
      <c r="P93" s="1" t="s">
        <v>170</v>
      </c>
      <c r="Q93" s="2"/>
      <c r="R93" s="2"/>
      <c r="S93" s="2"/>
      <c r="T93" s="2"/>
      <c r="U93" s="2"/>
      <c r="V93" s="2"/>
      <c r="W93" s="2"/>
      <c r="X93" s="2"/>
      <c r="Y93" s="5"/>
    </row>
    <row r="94" spans="1:25" ht="30" x14ac:dyDescent="0.25">
      <c r="A94" s="4">
        <v>87</v>
      </c>
      <c r="B94" s="1"/>
      <c r="C94" s="1" t="s">
        <v>168</v>
      </c>
      <c r="D94" s="1">
        <v>87</v>
      </c>
      <c r="E94" s="1"/>
      <c r="F94" s="1"/>
      <c r="G94" s="1" t="s">
        <v>204</v>
      </c>
      <c r="H94" s="1"/>
      <c r="I94" s="1"/>
      <c r="J94" s="1"/>
      <c r="K94" s="1"/>
      <c r="L94" s="1" t="s">
        <v>168</v>
      </c>
      <c r="M94" s="1" t="s">
        <v>204</v>
      </c>
      <c r="N94" s="1"/>
      <c r="O94" s="1"/>
      <c r="P94" s="1" t="s">
        <v>205</v>
      </c>
      <c r="Q94" s="2"/>
      <c r="R94" s="2"/>
      <c r="S94" s="2"/>
      <c r="T94" s="2"/>
      <c r="U94" s="2"/>
      <c r="V94" s="2"/>
      <c r="W94" s="2"/>
      <c r="X94" s="2"/>
      <c r="Y94" s="5"/>
    </row>
    <row r="95" spans="1:25" ht="30" x14ac:dyDescent="0.25">
      <c r="A95" s="4">
        <v>88</v>
      </c>
      <c r="B95" s="1"/>
      <c r="C95" s="1" t="s">
        <v>195</v>
      </c>
      <c r="D95" s="1">
        <v>88</v>
      </c>
      <c r="E95" s="1"/>
      <c r="F95" s="1"/>
      <c r="G95" s="1" t="s">
        <v>206</v>
      </c>
      <c r="H95" s="1"/>
      <c r="I95" s="1"/>
      <c r="J95" s="1"/>
      <c r="K95" s="1"/>
      <c r="L95" s="1" t="s">
        <v>195</v>
      </c>
      <c r="M95" s="1" t="s">
        <v>196</v>
      </c>
      <c r="N95" s="1"/>
      <c r="O95" s="1"/>
      <c r="P95" s="1" t="s">
        <v>170</v>
      </c>
      <c r="Q95" s="2"/>
      <c r="R95" s="2"/>
      <c r="S95" s="2"/>
      <c r="T95" s="2"/>
      <c r="U95" s="2"/>
      <c r="V95" s="2"/>
      <c r="W95" s="2"/>
      <c r="X95" s="2"/>
      <c r="Y95" s="5"/>
    </row>
    <row r="96" spans="1:25" x14ac:dyDescent="0.25">
      <c r="A96" s="4">
        <v>91</v>
      </c>
      <c r="B96" s="1"/>
      <c r="C96" s="1" t="s">
        <v>207</v>
      </c>
      <c r="D96" s="1"/>
      <c r="E96" s="1"/>
      <c r="F96" s="1"/>
      <c r="G96" s="1"/>
      <c r="H96" s="1"/>
      <c r="I96" s="1"/>
      <c r="J96" s="1"/>
      <c r="K96" s="1"/>
      <c r="L96" s="1" t="s">
        <v>207</v>
      </c>
      <c r="M96" s="1" t="s">
        <v>196</v>
      </c>
      <c r="N96" s="1"/>
      <c r="O96" s="1"/>
      <c r="P96" s="1" t="s">
        <v>208</v>
      </c>
      <c r="Q96" s="2"/>
      <c r="R96" s="2"/>
      <c r="S96" s="2"/>
      <c r="T96" s="2"/>
      <c r="U96" s="2"/>
      <c r="V96" s="2"/>
      <c r="W96" s="2"/>
      <c r="X96" s="2"/>
      <c r="Y96" s="5"/>
    </row>
    <row r="97" spans="1:25" ht="30" x14ac:dyDescent="0.25">
      <c r="A97" s="4">
        <v>92</v>
      </c>
      <c r="B97" s="1"/>
      <c r="C97" s="1"/>
      <c r="D97" s="1"/>
      <c r="E97" s="1"/>
      <c r="F97" s="1"/>
      <c r="G97" s="1" t="s">
        <v>209</v>
      </c>
      <c r="H97" s="1"/>
      <c r="I97" s="1"/>
      <c r="J97" s="1"/>
      <c r="K97" s="1"/>
      <c r="L97" s="1" t="s">
        <v>168</v>
      </c>
      <c r="M97" s="1" t="s">
        <v>210</v>
      </c>
      <c r="N97" s="1"/>
      <c r="O97" s="1"/>
      <c r="P97" s="1" t="s">
        <v>170</v>
      </c>
      <c r="Q97" s="2"/>
      <c r="R97" s="2"/>
      <c r="S97" s="2"/>
      <c r="T97" s="2"/>
      <c r="U97" s="2"/>
      <c r="V97" s="2"/>
      <c r="W97" s="2"/>
      <c r="X97" s="2"/>
      <c r="Y97" s="5"/>
    </row>
    <row r="98" spans="1:25" ht="60" x14ac:dyDescent="0.25">
      <c r="A98" s="4">
        <v>93</v>
      </c>
      <c r="B98" s="1"/>
      <c r="C98" s="1"/>
      <c r="D98" s="1"/>
      <c r="E98" s="1"/>
      <c r="F98" s="1"/>
      <c r="G98" s="1" t="s">
        <v>211</v>
      </c>
      <c r="H98" s="1"/>
      <c r="I98" s="1"/>
      <c r="J98" s="1"/>
      <c r="K98" s="1"/>
      <c r="L98" s="1" t="s">
        <v>195</v>
      </c>
      <c r="M98" s="1" t="s">
        <v>212</v>
      </c>
      <c r="N98" s="1"/>
      <c r="O98" s="1"/>
      <c r="P98" s="1" t="s">
        <v>170</v>
      </c>
      <c r="Q98" s="2"/>
      <c r="R98" s="2"/>
      <c r="S98" s="2"/>
      <c r="T98" s="2"/>
      <c r="U98" s="2"/>
      <c r="V98" s="2"/>
      <c r="W98" s="2"/>
      <c r="X98" s="2"/>
      <c r="Y98" s="5"/>
    </row>
    <row r="99" spans="1:25" x14ac:dyDescent="0.25">
      <c r="A99" s="4">
        <v>94</v>
      </c>
      <c r="B99" s="1"/>
      <c r="C99" s="1"/>
      <c r="D99" s="1"/>
      <c r="E99" s="1"/>
      <c r="F99" s="1"/>
      <c r="G99" s="1" t="s">
        <v>213</v>
      </c>
      <c r="H99" s="1"/>
      <c r="I99" s="1"/>
      <c r="J99" s="1"/>
      <c r="K99" s="1"/>
      <c r="L99" s="1" t="s">
        <v>180</v>
      </c>
      <c r="M99" s="1" t="s">
        <v>213</v>
      </c>
      <c r="N99" s="1"/>
      <c r="O99" s="1"/>
      <c r="P99" s="1" t="s">
        <v>170</v>
      </c>
      <c r="Q99" s="2"/>
      <c r="R99" s="2"/>
      <c r="S99" s="2"/>
      <c r="T99" s="2"/>
      <c r="U99" s="2"/>
      <c r="V99" s="2"/>
      <c r="W99" s="2"/>
      <c r="X99" s="2"/>
      <c r="Y99" s="5"/>
    </row>
    <row r="100" spans="1:25" ht="60" x14ac:dyDescent="0.25">
      <c r="A100" s="4">
        <v>74</v>
      </c>
      <c r="B100" s="1"/>
      <c r="C100" s="1"/>
      <c r="D100" s="1"/>
      <c r="E100" s="1"/>
      <c r="F100" s="1"/>
      <c r="G100" s="1" t="s">
        <v>214</v>
      </c>
      <c r="H100" s="1"/>
      <c r="I100" s="1"/>
      <c r="J100" s="1"/>
      <c r="K100" s="1"/>
      <c r="L100" s="1" t="s">
        <v>168</v>
      </c>
      <c r="M100" s="1" t="s">
        <v>215</v>
      </c>
      <c r="N100" s="1"/>
      <c r="O100" s="1"/>
      <c r="P100" s="1" t="s">
        <v>170</v>
      </c>
      <c r="Q100" s="2"/>
      <c r="R100" s="2"/>
      <c r="S100" s="2"/>
      <c r="T100" s="2"/>
      <c r="U100" s="2"/>
      <c r="V100" s="2"/>
      <c r="W100" s="2"/>
      <c r="X100" s="2"/>
      <c r="Y100" s="5"/>
    </row>
    <row r="101" spans="1:25" x14ac:dyDescent="0.25">
      <c r="A101" s="4">
        <v>100</v>
      </c>
      <c r="B101" s="1"/>
      <c r="C101" s="1" t="s">
        <v>182</v>
      </c>
      <c r="D101" s="1"/>
      <c r="E101" s="1"/>
      <c r="F101" s="1"/>
      <c r="G101" s="1" t="s">
        <v>190</v>
      </c>
      <c r="H101" s="1"/>
      <c r="I101" s="1"/>
      <c r="J101" s="1"/>
      <c r="K101" s="1"/>
      <c r="L101" s="1" t="s">
        <v>182</v>
      </c>
      <c r="M101" s="1" t="s">
        <v>191</v>
      </c>
      <c r="N101" s="1"/>
      <c r="O101" s="1"/>
      <c r="P101" s="1" t="s">
        <v>170</v>
      </c>
      <c r="Q101" s="2"/>
      <c r="R101" s="2"/>
      <c r="S101" s="2"/>
      <c r="T101" s="2"/>
      <c r="U101" s="2"/>
      <c r="V101" s="2"/>
      <c r="W101" s="2"/>
      <c r="X101" s="2"/>
      <c r="Y101" s="5"/>
    </row>
    <row r="102" spans="1:25" ht="90" x14ac:dyDescent="0.25">
      <c r="A102" s="4">
        <v>5000</v>
      </c>
      <c r="B102" s="1"/>
      <c r="C102" s="1"/>
      <c r="D102" s="1"/>
      <c r="E102" s="1"/>
      <c r="F102" s="1"/>
      <c r="G102" s="1" t="s">
        <v>161</v>
      </c>
      <c r="H102" s="1"/>
      <c r="I102" s="1"/>
      <c r="J102" s="1"/>
      <c r="K102" s="1"/>
      <c r="L102" s="1"/>
      <c r="M102" s="1" t="s">
        <v>216</v>
      </c>
      <c r="N102" s="1">
        <v>6</v>
      </c>
      <c r="O102" s="1">
        <v>3</v>
      </c>
      <c r="P102" s="1" t="s">
        <v>164</v>
      </c>
      <c r="Q102" s="2"/>
      <c r="R102" s="2"/>
      <c r="S102" s="2"/>
      <c r="T102" s="2"/>
      <c r="U102" s="2"/>
      <c r="V102" s="2"/>
      <c r="W102" s="2"/>
      <c r="X102" s="2"/>
      <c r="Y102" s="5"/>
    </row>
    <row r="103" spans="1:25" x14ac:dyDescent="0.25">
      <c r="A103" s="4">
        <v>101</v>
      </c>
      <c r="B103" s="1">
        <v>21</v>
      </c>
      <c r="C103" s="1"/>
      <c r="D103" s="1" t="s">
        <v>217</v>
      </c>
      <c r="E103" s="1" t="s">
        <v>17</v>
      </c>
      <c r="F103" s="1" t="s">
        <v>89</v>
      </c>
      <c r="G103" s="1"/>
      <c r="H103" s="1"/>
      <c r="I103" s="1"/>
      <c r="J103" s="1"/>
      <c r="K103" s="1">
        <v>2022</v>
      </c>
      <c r="L103" s="1" t="s">
        <v>82</v>
      </c>
      <c r="M103" s="1"/>
      <c r="N103" s="1"/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5"/>
    </row>
    <row r="104" spans="1:25" x14ac:dyDescent="0.25">
      <c r="A104" s="4">
        <v>102</v>
      </c>
      <c r="B104" s="1"/>
      <c r="C104" s="1"/>
      <c r="D104" s="1"/>
      <c r="E104" s="1" t="s">
        <v>56</v>
      </c>
      <c r="F104" s="1"/>
      <c r="G104" s="1"/>
      <c r="H104" s="1"/>
      <c r="I104" s="1"/>
      <c r="J104" s="1"/>
      <c r="K104" s="1"/>
      <c r="L104" s="1" t="s">
        <v>218</v>
      </c>
      <c r="M104" s="1"/>
      <c r="N104" s="1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5"/>
    </row>
    <row r="105" spans="1:25" x14ac:dyDescent="0.25">
      <c r="A105" s="4">
        <v>132</v>
      </c>
      <c r="B105" s="1">
        <v>9</v>
      </c>
      <c r="C105" s="1"/>
      <c r="D105" s="1" t="s">
        <v>219</v>
      </c>
      <c r="E105" s="1" t="s">
        <v>17</v>
      </c>
      <c r="F105" s="1" t="s">
        <v>35</v>
      </c>
      <c r="G105" s="1"/>
      <c r="H105" s="1" t="s">
        <v>19</v>
      </c>
      <c r="I105" s="1"/>
      <c r="J105" s="1" t="s">
        <v>49</v>
      </c>
      <c r="K105" s="1">
        <v>2016</v>
      </c>
      <c r="L105" s="1" t="s">
        <v>156</v>
      </c>
      <c r="M105" s="1"/>
      <c r="N105" s="1"/>
      <c r="O105" s="1"/>
      <c r="P105" s="1" t="s">
        <v>22</v>
      </c>
      <c r="Q105" s="2"/>
      <c r="R105" s="2"/>
      <c r="S105" s="2"/>
      <c r="T105" s="2">
        <v>124.16</v>
      </c>
      <c r="U105" s="2">
        <v>152.5</v>
      </c>
      <c r="V105" s="2">
        <v>203.2</v>
      </c>
      <c r="W105" s="2">
        <v>215</v>
      </c>
      <c r="X105" s="2">
        <v>163</v>
      </c>
      <c r="Y105" s="5">
        <v>245</v>
      </c>
    </row>
    <row r="106" spans="1:25" x14ac:dyDescent="0.25">
      <c r="A106" s="4">
        <v>172</v>
      </c>
      <c r="B106" s="1">
        <v>2</v>
      </c>
      <c r="C106" s="1"/>
      <c r="D106" s="1"/>
      <c r="E106" s="1" t="s">
        <v>17</v>
      </c>
      <c r="F106" s="1" t="s">
        <v>35</v>
      </c>
      <c r="G106" s="1"/>
      <c r="H106" s="1" t="s">
        <v>19</v>
      </c>
      <c r="I106" s="1"/>
      <c r="J106" s="1" t="s">
        <v>220</v>
      </c>
      <c r="K106" s="1">
        <v>2016</v>
      </c>
      <c r="L106" s="1" t="s">
        <v>182</v>
      </c>
      <c r="M106" s="1"/>
      <c r="N106" s="1"/>
      <c r="O106" s="1"/>
      <c r="P106" s="1" t="s">
        <v>22</v>
      </c>
      <c r="Q106" s="2"/>
      <c r="R106" s="2"/>
      <c r="S106" s="2">
        <v>174.41</v>
      </c>
      <c r="T106" s="2">
        <v>151.11000000000001</v>
      </c>
      <c r="U106" s="2">
        <v>249.4</v>
      </c>
      <c r="V106" s="2">
        <v>244.1</v>
      </c>
      <c r="W106" s="2">
        <v>209.9</v>
      </c>
      <c r="X106" s="2">
        <v>269</v>
      </c>
      <c r="Y106" s="5">
        <v>272</v>
      </c>
    </row>
    <row r="107" spans="1:25" x14ac:dyDescent="0.25">
      <c r="A107" s="4">
        <v>173</v>
      </c>
      <c r="B107" s="1">
        <v>5</v>
      </c>
      <c r="C107" s="1"/>
      <c r="D107" s="1"/>
      <c r="E107" s="1" t="s">
        <v>17</v>
      </c>
      <c r="F107" s="1" t="s">
        <v>35</v>
      </c>
      <c r="G107" s="1"/>
      <c r="H107" s="1" t="s">
        <v>19</v>
      </c>
      <c r="I107" s="1"/>
      <c r="J107" s="1" t="s">
        <v>49</v>
      </c>
      <c r="K107" s="1">
        <v>2016</v>
      </c>
      <c r="L107" s="1" t="s">
        <v>221</v>
      </c>
      <c r="M107" s="1"/>
      <c r="N107" s="1"/>
      <c r="O107" s="1"/>
      <c r="P107" s="1" t="s">
        <v>22</v>
      </c>
      <c r="Q107" s="2"/>
      <c r="R107" s="2"/>
      <c r="S107" s="2">
        <v>159.21</v>
      </c>
      <c r="T107" s="2">
        <v>145.74</v>
      </c>
      <c r="U107" s="2">
        <v>242.1</v>
      </c>
      <c r="V107" s="2">
        <v>226.9</v>
      </c>
      <c r="W107" s="2">
        <v>221.9</v>
      </c>
      <c r="X107" s="2">
        <v>259</v>
      </c>
      <c r="Y107" s="5">
        <v>258</v>
      </c>
    </row>
    <row r="108" spans="1:25" x14ac:dyDescent="0.25">
      <c r="A108" s="4">
        <v>174</v>
      </c>
      <c r="B108" s="1">
        <v>9</v>
      </c>
      <c r="C108" s="1"/>
      <c r="D108" s="1"/>
      <c r="E108" s="1" t="s">
        <v>17</v>
      </c>
      <c r="F108" s="1" t="s">
        <v>35</v>
      </c>
      <c r="G108" s="1"/>
      <c r="H108" s="1" t="s">
        <v>19</v>
      </c>
      <c r="I108" s="1"/>
      <c r="J108" s="1" t="s">
        <v>220</v>
      </c>
      <c r="K108" s="1">
        <v>2016</v>
      </c>
      <c r="L108" s="1" t="s">
        <v>222</v>
      </c>
      <c r="M108" s="1"/>
      <c r="N108" s="1"/>
      <c r="O108" s="1"/>
      <c r="P108" s="1" t="s">
        <v>22</v>
      </c>
      <c r="Q108" s="2"/>
      <c r="R108" s="2"/>
      <c r="S108" s="2">
        <v>132.63</v>
      </c>
      <c r="T108" s="2">
        <v>154.4</v>
      </c>
      <c r="U108" s="2">
        <v>244.2</v>
      </c>
      <c r="V108" s="2">
        <v>194.4</v>
      </c>
      <c r="W108" s="2">
        <v>215.3</v>
      </c>
      <c r="X108" s="2">
        <v>294</v>
      </c>
      <c r="Y108" s="5">
        <v>283</v>
      </c>
    </row>
    <row r="109" spans="1:25" ht="30" x14ac:dyDescent="0.25">
      <c r="A109" s="4">
        <v>312</v>
      </c>
      <c r="B109" s="1"/>
      <c r="C109" s="1"/>
      <c r="D109" s="1" t="s">
        <v>223</v>
      </c>
      <c r="E109" s="1" t="s">
        <v>17</v>
      </c>
      <c r="F109" s="1" t="s">
        <v>224</v>
      </c>
      <c r="G109" s="1"/>
      <c r="H109" s="1" t="s">
        <v>19</v>
      </c>
      <c r="I109" s="1" t="s">
        <v>20</v>
      </c>
      <c r="J109" s="1"/>
      <c r="K109" s="1">
        <v>2022</v>
      </c>
      <c r="L109" s="1" t="s">
        <v>60</v>
      </c>
      <c r="M109" s="1"/>
      <c r="N109" s="1"/>
      <c r="O109" s="1"/>
      <c r="P109" s="1" t="s">
        <v>22</v>
      </c>
      <c r="Q109" s="2"/>
      <c r="R109" s="2"/>
      <c r="S109" s="2"/>
      <c r="T109" s="2"/>
      <c r="U109" s="2"/>
      <c r="V109" s="2"/>
      <c r="W109" s="2"/>
      <c r="X109" s="2"/>
      <c r="Y109" s="5">
        <v>6</v>
      </c>
    </row>
    <row r="110" spans="1:25" x14ac:dyDescent="0.25">
      <c r="A110" s="9">
        <v>313</v>
      </c>
      <c r="B110" s="10"/>
      <c r="C110" s="10"/>
      <c r="D110" s="10" t="s">
        <v>225</v>
      </c>
      <c r="E110" s="10"/>
      <c r="F110" s="10"/>
      <c r="G110" s="10"/>
      <c r="H110" s="10"/>
      <c r="I110" s="10"/>
      <c r="J110" s="10"/>
      <c r="K110" s="10"/>
      <c r="L110" s="10" t="s">
        <v>68</v>
      </c>
      <c r="M110" s="10"/>
      <c r="N110" s="10"/>
      <c r="O110" s="10"/>
      <c r="P110" s="10" t="s">
        <v>56</v>
      </c>
      <c r="Q110" s="11"/>
      <c r="R110" s="11"/>
      <c r="S110" s="11"/>
      <c r="T110" s="11"/>
      <c r="U110" s="11"/>
      <c r="V110" s="11"/>
      <c r="W110" s="11"/>
      <c r="X110" s="11"/>
      <c r="Y110" s="12"/>
    </row>
    <row r="121" spans="26:26" x14ac:dyDescent="0.25">
      <c r="Z12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K7" sqref="K7"/>
    </sheetView>
  </sheetViews>
  <sheetFormatPr baseColWidth="10" defaultRowHeight="15" x14ac:dyDescent="0.25"/>
  <cols>
    <col min="1" max="1" width="7.7109375" customWidth="1"/>
    <col min="2" max="2" width="22.42578125" bestFit="1" customWidth="1"/>
    <col min="3" max="4" width="12.5703125" bestFit="1" customWidth="1"/>
    <col min="5" max="9" width="13" customWidth="1"/>
    <col min="10" max="10" width="13" bestFit="1" customWidth="1"/>
    <col min="11" max="416" width="22.42578125" customWidth="1"/>
    <col min="417" max="424" width="19.42578125" customWidth="1"/>
    <col min="425" max="427" width="14.42578125" customWidth="1"/>
    <col min="428" max="434" width="18" customWidth="1"/>
    <col min="435" max="441" width="14.42578125" customWidth="1"/>
    <col min="442" max="448" width="18" customWidth="1"/>
    <col min="449" max="455" width="14.42578125" customWidth="1"/>
    <col min="456" max="462" width="18" customWidth="1"/>
    <col min="463" max="476" width="14.42578125" customWidth="1"/>
    <col min="477" max="483" width="18" customWidth="1"/>
    <col min="484" max="490" width="14.42578125" customWidth="1"/>
    <col min="491" max="497" width="18" customWidth="1"/>
    <col min="498" max="504" width="14.42578125" customWidth="1"/>
    <col min="505" max="511" width="18" customWidth="1"/>
    <col min="512" max="518" width="14.42578125" customWidth="1"/>
    <col min="519" max="525" width="18" customWidth="1"/>
    <col min="526" max="532" width="14.42578125" customWidth="1"/>
    <col min="533" max="539" width="18" customWidth="1"/>
    <col min="540" max="546" width="14.42578125" customWidth="1"/>
    <col min="547" max="548" width="18" bestFit="1" customWidth="1"/>
    <col min="549" max="553" width="18" customWidth="1"/>
    <col min="554" max="560" width="14.42578125" customWidth="1"/>
    <col min="561" max="561" width="18" bestFit="1" customWidth="1"/>
    <col min="562" max="567" width="18" customWidth="1"/>
    <col min="568" max="574" width="14.42578125" customWidth="1"/>
    <col min="575" max="581" width="18" customWidth="1"/>
    <col min="582" max="588" width="14.42578125" customWidth="1"/>
    <col min="589" max="595" width="18" customWidth="1"/>
    <col min="596" max="602" width="14.42578125" customWidth="1"/>
    <col min="603" max="609" width="18" customWidth="1"/>
    <col min="610" max="616" width="14.42578125" customWidth="1"/>
    <col min="617" max="623" width="18" customWidth="1"/>
    <col min="624" max="630" width="14.42578125" customWidth="1"/>
    <col min="631" max="637" width="18" customWidth="1"/>
    <col min="638" max="644" width="14.42578125" customWidth="1"/>
    <col min="645" max="651" width="18" customWidth="1"/>
    <col min="652" max="658" width="14.42578125" customWidth="1"/>
    <col min="659" max="665" width="18" customWidth="1"/>
    <col min="666" max="672" width="14.42578125" customWidth="1"/>
    <col min="673" max="679" width="18" customWidth="1"/>
    <col min="680" max="686" width="14.42578125" customWidth="1"/>
    <col min="687" max="693" width="18" customWidth="1"/>
    <col min="694" max="702" width="14.42578125" customWidth="1"/>
    <col min="703" max="704" width="14.42578125" bestFit="1" customWidth="1"/>
    <col min="705" max="714" width="14.42578125" customWidth="1"/>
    <col min="715" max="721" width="25.140625" bestFit="1" customWidth="1"/>
    <col min="722" max="723" width="19.42578125" bestFit="1" customWidth="1"/>
    <col min="724" max="728" width="19.42578125" customWidth="1"/>
    <col min="729" max="732" width="18" customWidth="1"/>
    <col min="733" max="736" width="19.5703125" customWidth="1"/>
    <col min="737" max="738" width="19.5703125" bestFit="1" customWidth="1"/>
    <col min="739" max="740" width="14.42578125" customWidth="1"/>
    <col min="741" max="741" width="14.42578125" bestFit="1" customWidth="1"/>
    <col min="742" max="744" width="14.42578125" customWidth="1"/>
    <col min="745" max="747" width="18" customWidth="1"/>
    <col min="748" max="748" width="18" bestFit="1" customWidth="1"/>
    <col min="749" max="750" width="18" customWidth="1"/>
    <col min="751" max="756" width="19.5703125" customWidth="1"/>
    <col min="757" max="762" width="14.42578125" customWidth="1"/>
    <col min="763" max="774" width="18" customWidth="1"/>
    <col min="775" max="780" width="14.42578125" customWidth="1"/>
    <col min="781" max="786" width="18" customWidth="1"/>
    <col min="787" max="792" width="19.5703125" customWidth="1"/>
    <col min="793" max="798" width="14.42578125" customWidth="1"/>
    <col min="799" max="804" width="18" customWidth="1"/>
    <col min="805" max="810" width="19.5703125" customWidth="1"/>
    <col min="811" max="816" width="14.42578125" customWidth="1"/>
    <col min="817" max="822" width="18" customWidth="1"/>
    <col min="823" max="828" width="19.5703125" customWidth="1"/>
    <col min="829" max="834" width="14.42578125" customWidth="1"/>
    <col min="835" max="840" width="18" customWidth="1"/>
    <col min="841" max="843" width="19.5703125" customWidth="1"/>
    <col min="844" max="846" width="19.5703125" bestFit="1" customWidth="1"/>
    <col min="847" max="852" width="14.42578125" customWidth="1"/>
    <col min="853" max="858" width="18" customWidth="1"/>
    <col min="859" max="860" width="19.5703125" customWidth="1"/>
    <col min="861" max="861" width="19.5703125" bestFit="1" customWidth="1"/>
    <col min="862" max="864" width="19.5703125" customWidth="1"/>
    <col min="865" max="870" width="14.42578125" customWidth="1"/>
    <col min="871" max="876" width="18" customWidth="1"/>
    <col min="877" max="882" width="19.5703125" customWidth="1"/>
    <col min="883" max="888" width="14.42578125" customWidth="1"/>
    <col min="889" max="894" width="15.85546875" customWidth="1"/>
    <col min="895" max="900" width="14.42578125" customWidth="1"/>
    <col min="901" max="906" width="17" customWidth="1"/>
    <col min="907" max="924" width="14.42578125" customWidth="1"/>
    <col min="925" max="935" width="25.140625" bestFit="1" customWidth="1"/>
    <col min="936" max="936" width="25.140625" customWidth="1"/>
    <col min="937" max="940" width="19.42578125" customWidth="1"/>
    <col min="941" max="942" width="19.42578125" bestFit="1" customWidth="1"/>
    <col min="943" max="945" width="18" bestFit="1" customWidth="1"/>
    <col min="946" max="955" width="19.5703125" bestFit="1" customWidth="1"/>
    <col min="956" max="960" width="14.42578125" customWidth="1"/>
    <col min="961" max="965" width="18" bestFit="1" customWidth="1"/>
    <col min="966" max="975" width="19.5703125" bestFit="1" customWidth="1"/>
    <col min="976" max="976" width="14.42578125" customWidth="1"/>
    <col min="977" max="980" width="14.42578125" bestFit="1" customWidth="1"/>
    <col min="981" max="985" width="15.85546875" customWidth="1"/>
    <col min="986" max="990" width="14.42578125" customWidth="1"/>
    <col min="991" max="992" width="17" customWidth="1"/>
    <col min="993" max="995" width="17" bestFit="1" customWidth="1"/>
    <col min="996" max="996" width="14.42578125" bestFit="1" customWidth="1"/>
    <col min="997" max="1000" width="14.42578125" customWidth="1"/>
    <col min="1001" max="1004" width="14.42578125" bestFit="1" customWidth="1"/>
    <col min="1005" max="1008" width="14.42578125" customWidth="1"/>
    <col min="1009" max="1010" width="14.42578125" bestFit="1" customWidth="1"/>
    <col min="1011" max="1025" width="25.140625" bestFit="1" customWidth="1"/>
    <col min="1026" max="1030" width="19.42578125" customWidth="1"/>
    <col min="1031" max="1036" width="25.140625" bestFit="1" customWidth="1"/>
    <col min="1037" max="1040" width="19.42578125" bestFit="1" customWidth="1"/>
  </cols>
  <sheetData>
    <row r="1" spans="1:12" x14ac:dyDescent="0.25">
      <c r="A1" s="14" t="s">
        <v>0</v>
      </c>
      <c r="B1" s="15">
        <v>50</v>
      </c>
      <c r="E1" t="str">
        <f>CONCATENATE("Producción en qq de la parcela "&amp;B1&amp;" ("&amp;I1)&amp;")"&amp; CHAR(10)&amp;
"Promedio: "&amp;L1&amp;" qq"</f>
        <v>Producción en qq de la parcela 50 (Chenin)
Promedio: 183,04 qq</v>
      </c>
      <c r="I1" t="str">
        <f>B4</f>
        <v>Chenin</v>
      </c>
      <c r="K1" t="s">
        <v>249</v>
      </c>
      <c r="L1" s="3">
        <f>ROUND(AVERAGE(C5:C13),2)</f>
        <v>183.04</v>
      </c>
    </row>
    <row r="3" spans="1:12" x14ac:dyDescent="0.25">
      <c r="B3" s="14" t="s">
        <v>247</v>
      </c>
    </row>
    <row r="4" spans="1:12" x14ac:dyDescent="0.25">
      <c r="A4" s="14" t="s">
        <v>237</v>
      </c>
      <c r="B4" t="s">
        <v>123</v>
      </c>
      <c r="C4" t="s">
        <v>248</v>
      </c>
      <c r="D4" t="s">
        <v>250</v>
      </c>
    </row>
    <row r="5" spans="1:12" x14ac:dyDescent="0.25">
      <c r="A5" s="15" t="s">
        <v>238</v>
      </c>
      <c r="B5" s="13"/>
      <c r="C5" s="13"/>
      <c r="D5" s="3">
        <f>$L$1</f>
        <v>183.04</v>
      </c>
    </row>
    <row r="6" spans="1:12" x14ac:dyDescent="0.25">
      <c r="A6" s="15" t="s">
        <v>239</v>
      </c>
      <c r="B6" s="13">
        <v>138.19999999999999</v>
      </c>
      <c r="C6" s="13">
        <v>138.19999999999999</v>
      </c>
      <c r="D6" s="3">
        <f t="shared" ref="D6:D13" si="0">$L$1</f>
        <v>183.04</v>
      </c>
    </row>
    <row r="7" spans="1:12" x14ac:dyDescent="0.25">
      <c r="A7" s="15" t="s">
        <v>240</v>
      </c>
      <c r="B7" s="13">
        <v>175.97</v>
      </c>
      <c r="C7" s="13">
        <v>175.97</v>
      </c>
      <c r="D7" s="3">
        <f t="shared" si="0"/>
        <v>183.04</v>
      </c>
    </row>
    <row r="8" spans="1:12" x14ac:dyDescent="0.25">
      <c r="A8" s="15" t="s">
        <v>241</v>
      </c>
      <c r="B8" s="13">
        <v>134.84</v>
      </c>
      <c r="C8" s="13">
        <v>134.84</v>
      </c>
      <c r="D8" s="3">
        <f t="shared" si="0"/>
        <v>183.04</v>
      </c>
    </row>
    <row r="9" spans="1:12" x14ac:dyDescent="0.25">
      <c r="A9" s="15" t="s">
        <v>242</v>
      </c>
      <c r="B9" s="13">
        <v>186.9</v>
      </c>
      <c r="C9" s="13">
        <v>186.9</v>
      </c>
      <c r="D9" s="3">
        <f t="shared" si="0"/>
        <v>183.04</v>
      </c>
    </row>
    <row r="10" spans="1:12" x14ac:dyDescent="0.25">
      <c r="A10" s="15" t="s">
        <v>243</v>
      </c>
      <c r="B10" s="13">
        <v>219.5</v>
      </c>
      <c r="C10" s="13">
        <v>219.5</v>
      </c>
      <c r="D10" s="3">
        <f t="shared" si="0"/>
        <v>183.04</v>
      </c>
    </row>
    <row r="11" spans="1:12" x14ac:dyDescent="0.25">
      <c r="A11" s="15" t="s">
        <v>244</v>
      </c>
      <c r="B11" s="13">
        <v>117.9</v>
      </c>
      <c r="C11" s="13">
        <v>117.9</v>
      </c>
      <c r="D11" s="3">
        <f t="shared" si="0"/>
        <v>183.04</v>
      </c>
    </row>
    <row r="12" spans="1:12" x14ac:dyDescent="0.25">
      <c r="A12" s="15" t="s">
        <v>245</v>
      </c>
      <c r="B12" s="13">
        <v>185</v>
      </c>
      <c r="C12" s="13">
        <v>185</v>
      </c>
      <c r="D12" s="3">
        <f t="shared" si="0"/>
        <v>183.04</v>
      </c>
    </row>
    <row r="13" spans="1:12" x14ac:dyDescent="0.25">
      <c r="A13" s="15" t="s">
        <v>246</v>
      </c>
      <c r="B13" s="13">
        <v>306</v>
      </c>
      <c r="C13" s="13">
        <v>306</v>
      </c>
      <c r="D13" s="3">
        <f t="shared" si="0"/>
        <v>183.04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GraficoDinamico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Mauricio Godoy</dc:creator>
  <cp:lastModifiedBy>Claudio Mauricio Godoy</cp:lastModifiedBy>
  <dcterms:created xsi:type="dcterms:W3CDTF">2026-02-20T15:49:55Z</dcterms:created>
  <dcterms:modified xsi:type="dcterms:W3CDTF">2026-02-26T17:05:05Z</dcterms:modified>
</cp:coreProperties>
</file>